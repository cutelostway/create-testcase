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ind\Downloads\"/>
    </mc:Choice>
  </mc:AlternateContent>
  <xr:revisionPtr revIDLastSave="0" documentId="8_{32F54E83-C8BC-4B75-AC27-AD90201CBA8A}" xr6:coauthVersionLast="47" xr6:coauthVersionMax="47" xr10:uidLastSave="{00000000-0000-0000-0000-000000000000}"/>
  <bookViews>
    <workbookView xWindow="28680" yWindow="-120" windowWidth="29040" windowHeight="15840" tabRatio="732" activeTab="1" xr2:uid="{00000000-000D-0000-FFFF-FFFF00000000}"/>
  </bookViews>
  <sheets>
    <sheet name="Cover" sheetId="1" r:id="rId1"/>
    <sheet name="Report" sheetId="20" r:id="rId2"/>
    <sheet name="Module 1" sheetId="66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7" i="20" l="1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U22" i="20"/>
  <c r="T22" i="20"/>
  <c r="S22" i="20"/>
  <c r="R22" i="20"/>
  <c r="Q22" i="20"/>
  <c r="P22" i="20"/>
  <c r="P10" i="20" s="1"/>
  <c r="P11" i="20" s="1"/>
  <c r="O22" i="20"/>
  <c r="N22" i="20"/>
  <c r="M22" i="20"/>
  <c r="L22" i="20"/>
  <c r="K22" i="20"/>
  <c r="J22" i="20"/>
  <c r="I22" i="20"/>
  <c r="H22" i="20"/>
  <c r="G22" i="20"/>
  <c r="F22" i="20"/>
  <c r="F10" i="20" s="1"/>
  <c r="F11" i="20" s="1"/>
  <c r="E22" i="20"/>
  <c r="D22" i="20"/>
  <c r="B27" i="20"/>
  <c r="B22" i="20"/>
  <c r="C27" i="20"/>
  <c r="C22" i="20"/>
  <c r="C16" i="20"/>
  <c r="R16" i="20" s="1"/>
  <c r="R17" i="20" s="1"/>
  <c r="C10" i="20"/>
  <c r="V3" i="66"/>
  <c r="U3" i="66"/>
  <c r="S3" i="66"/>
  <c r="T3" i="66"/>
  <c r="R3" i="66"/>
  <c r="Q3" i="66"/>
  <c r="M6" i="66"/>
  <c r="P3" i="66"/>
  <c r="O3" i="66"/>
  <c r="M3" i="66"/>
  <c r="N3" i="66"/>
  <c r="L3" i="66"/>
  <c r="K3" i="66"/>
  <c r="I6" i="66"/>
  <c r="F3" i="66"/>
  <c r="R10" i="20" l="1"/>
  <c r="R11" i="20" s="1"/>
  <c r="F16" i="20"/>
  <c r="F17" i="20" s="1"/>
  <c r="N16" i="20"/>
  <c r="N17" i="20" s="1"/>
  <c r="M10" i="20"/>
  <c r="M11" i="20" s="1"/>
  <c r="Q10" i="20"/>
  <c r="Q11" i="20" s="1"/>
  <c r="G16" i="20"/>
  <c r="G17" i="20" s="1"/>
  <c r="O16" i="20"/>
  <c r="O17" i="20" s="1"/>
  <c r="I10" i="20"/>
  <c r="I11" i="20" s="1"/>
  <c r="H10" i="20"/>
  <c r="J10" i="20"/>
  <c r="J11" i="20" s="1"/>
  <c r="P16" i="20"/>
  <c r="P17" i="20" s="1"/>
  <c r="D16" i="20"/>
  <c r="D17" i="20" s="1"/>
  <c r="H16" i="20"/>
  <c r="H17" i="20" s="1"/>
  <c r="I16" i="20"/>
  <c r="I17" i="20" s="1"/>
  <c r="Q16" i="20"/>
  <c r="D10" i="20"/>
  <c r="L10" i="20"/>
  <c r="J16" i="20"/>
  <c r="K10" i="20"/>
  <c r="M16" i="20"/>
  <c r="M17" i="20" s="1"/>
  <c r="E10" i="20"/>
  <c r="E11" i="20" s="1"/>
  <c r="K16" i="20"/>
  <c r="N10" i="20"/>
  <c r="L16" i="20"/>
  <c r="G10" i="20"/>
  <c r="O10" i="20"/>
  <c r="E16" i="20"/>
  <c r="E17" i="20" s="1"/>
  <c r="B3" i="66"/>
  <c r="B2" i="66"/>
  <c r="A13" i="66"/>
  <c r="A12" i="66"/>
  <c r="A11" i="66"/>
  <c r="A10" i="66"/>
  <c r="A8" i="66"/>
  <c r="A7" i="66"/>
  <c r="I3" i="66"/>
  <c r="H3" i="66"/>
  <c r="G3" i="66"/>
  <c r="D4" i="20" l="1"/>
  <c r="D11" i="20"/>
  <c r="X10" i="20"/>
  <c r="X11" i="20" s="1"/>
  <c r="N11" i="20"/>
  <c r="M4" i="20"/>
  <c r="K17" i="20"/>
  <c r="U16" i="20"/>
  <c r="U17" i="20" s="1"/>
  <c r="Q17" i="20"/>
  <c r="F4" i="20"/>
  <c r="K11" i="20"/>
  <c r="N4" i="20"/>
  <c r="L17" i="20"/>
  <c r="U10" i="20"/>
  <c r="U11" i="20" s="1"/>
  <c r="O11" i="20"/>
  <c r="T16" i="20"/>
  <c r="T17" i="20" s="1"/>
  <c r="J17" i="20"/>
  <c r="G4" i="20"/>
  <c r="G11" i="20"/>
  <c r="W10" i="20"/>
  <c r="W11" i="20" s="1"/>
  <c r="L11" i="20"/>
  <c r="H4" i="20"/>
  <c r="J4" i="20" s="1"/>
  <c r="H11" i="20"/>
  <c r="O4" i="20"/>
  <c r="L4" i="20"/>
  <c r="E4" i="20"/>
  <c r="X16" i="20"/>
  <c r="X17" i="20" s="1"/>
  <c r="V16" i="20"/>
  <c r="V17" i="20" s="1"/>
  <c r="S16" i="20"/>
  <c r="S17" i="20" s="1"/>
  <c r="V10" i="20"/>
  <c r="V11" i="20" s="1"/>
  <c r="T10" i="20"/>
  <c r="T11" i="20" s="1"/>
  <c r="K4" i="20"/>
  <c r="S10" i="20"/>
  <c r="S11" i="20" s="1"/>
  <c r="W16" i="20"/>
  <c r="W17" i="20" s="1"/>
  <c r="A9" i="66"/>
  <c r="J3" i="66"/>
  <c r="I4" i="20" l="1"/>
  <c r="Q4" i="20"/>
  <c r="P4" i="20"/>
</calcChain>
</file>

<file path=xl/sharedStrings.xml><?xml version="1.0" encoding="utf-8"?>
<sst xmlns="http://schemas.openxmlformats.org/spreadsheetml/2006/main" count="199" uniqueCount="74">
  <si>
    <t xml:space="preserve">       TESTCASE DOCUMENTS</t>
  </si>
  <si>
    <t>Project Name:</t>
  </si>
  <si>
    <t>Nhập tên dự án</t>
    <phoneticPr fontId="12"/>
  </si>
  <si>
    <t>Reviewer:</t>
  </si>
  <si>
    <t>HaPT</t>
    <phoneticPr fontId="12"/>
  </si>
  <si>
    <t>Phase:</t>
  </si>
  <si>
    <t xml:space="preserve">Nhâp tên phase </t>
    <phoneticPr fontId="12"/>
  </si>
  <si>
    <t>Created time (h):</t>
  </si>
  <si>
    <t>Record of change:</t>
  </si>
  <si>
    <r>
      <t xml:space="preserve"> (</t>
    </r>
    <r>
      <rPr>
        <sz val="12"/>
        <color rgb="FFFF0000"/>
        <rFont val="Times New Roman"/>
        <family val="1"/>
      </rPr>
      <t>*</t>
    </r>
    <r>
      <rPr>
        <sz val="12"/>
        <rFont val="Times New Roman"/>
        <family val="1"/>
      </rPr>
      <t>) A (Add), M (Modify), D (Delete)</t>
    </r>
  </si>
  <si>
    <t>Date</t>
    <phoneticPr fontId="12"/>
  </si>
  <si>
    <t>Version</t>
  </si>
  <si>
    <t>Change Description</t>
  </si>
  <si>
    <r>
      <t>A, D, M (</t>
    </r>
    <r>
      <rPr>
        <b/>
        <sz val="12"/>
        <color rgb="FFFF0000"/>
        <rFont val="Times New Roman"/>
        <family val="1"/>
      </rPr>
      <t>*</t>
    </r>
    <r>
      <rPr>
        <b/>
        <sz val="12"/>
        <color rgb="FFFFFFFF"/>
        <rFont val="Times New Roman"/>
        <family val="1"/>
      </rPr>
      <t>)</t>
    </r>
  </si>
  <si>
    <t>Change item</t>
  </si>
  <si>
    <t>Reference</t>
  </si>
  <si>
    <t>PIC</t>
  </si>
  <si>
    <t>Round 1</t>
  </si>
  <si>
    <t>Pass</t>
  </si>
  <si>
    <t>Fail</t>
  </si>
  <si>
    <t>Untested</t>
  </si>
  <si>
    <t>Rejected</t>
  </si>
  <si>
    <t>Total</t>
  </si>
  <si>
    <t>Environment</t>
  </si>
  <si>
    <t>High</t>
  </si>
  <si>
    <t>Normal</t>
  </si>
  <si>
    <t>Low</t>
  </si>
  <si>
    <t>Tester</t>
  </si>
  <si>
    <t>Note</t>
  </si>
  <si>
    <t>Module:</t>
  </si>
  <si>
    <t>Module 1</t>
    <phoneticPr fontId="12"/>
  </si>
  <si>
    <t>Creator:</t>
  </si>
  <si>
    <t>Priority</t>
  </si>
  <si>
    <t>Round 2</t>
  </si>
  <si>
    <t>Project name:</t>
  </si>
  <si>
    <t>Created date:</t>
  </si>
  <si>
    <t>% coverage</t>
  </si>
  <si>
    <t>Pass coverage</t>
    <phoneticPr fontId="3"/>
  </si>
  <si>
    <t>% coverage</t>
    <phoneticPr fontId="12"/>
  </si>
  <si>
    <t>Created time:</t>
  </si>
  <si>
    <t>ID</t>
  </si>
  <si>
    <t>Category</t>
    <phoneticPr fontId="3"/>
  </si>
  <si>
    <t>Performance steps(test steps)</t>
    <phoneticPr fontId="3"/>
  </si>
  <si>
    <t>Test Data</t>
    <phoneticPr fontId="3"/>
  </si>
  <si>
    <t>Expected result</t>
    <phoneticPr fontId="3"/>
  </si>
  <si>
    <t>Priority</t>
    <phoneticPr fontId="3"/>
  </si>
  <si>
    <t>Date</t>
  </si>
  <si>
    <t>Trường email</t>
  </si>
  <si>
    <t>&lt;List all test cases or conditions that must be done before performing this case&gt;</t>
  </si>
  <si>
    <t>&lt;Describe steps to perform this case&gt;
Ex:
1. Login the system with Manager role.
2. Click "Company" tab in the left menu.</t>
  </si>
  <si>
    <t xml:space="preserve">&lt;Describe results which meet customer's requirement&gt;
Ex:
The "Company" view form is displayed with the folowing informations:
- Company name
- Company address
- Phone
- Fax
</t>
    <phoneticPr fontId="12"/>
  </si>
  <si>
    <t>Sub Category</t>
    <phoneticPr fontId="3"/>
  </si>
  <si>
    <t>General statistic</t>
  </si>
  <si>
    <t>% Coverage</t>
  </si>
  <si>
    <t>% Pass converage</t>
  </si>
  <si>
    <t>Round 2</t>
    <phoneticPr fontId="12"/>
  </si>
  <si>
    <t>Round base statistic</t>
  </si>
  <si>
    <t>Round1</t>
  </si>
  <si>
    <t>Test Result</t>
  </si>
  <si>
    <t>Normal</t>
    <phoneticPr fontId="12"/>
  </si>
  <si>
    <t>Low</t>
    <phoneticPr fontId="12"/>
  </si>
  <si>
    <t>Test coverage (%)</t>
  </si>
  <si>
    <t>Pass coverage (%)</t>
    <phoneticPr fontId="12"/>
  </si>
  <si>
    <t>Total:</t>
  </si>
  <si>
    <t>Round 1 in detail</t>
  </si>
  <si>
    <t>No</t>
  </si>
  <si>
    <t>Module/Function</t>
  </si>
  <si>
    <t>Total TC</t>
  </si>
  <si>
    <t>Creator</t>
  </si>
  <si>
    <t>Round 2 in detail</t>
    <phoneticPr fontId="12"/>
  </si>
  <si>
    <t>Test result round 1</t>
  </si>
  <si>
    <t>BugID</t>
  </si>
  <si>
    <t>Test result round 2</t>
  </si>
  <si>
    <t>Chrome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</si>
</sst>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d\-mmm\-yy"/>
  </numFmts>
  <fonts count="20" x14ac:knownFonts="1">
    <font>
      <sz val="11"/>
      <color theme="1"/>
      <name val="ＭＳ Ｐゴシック"/>
      <family val="2"/>
      <charset val="163"/>
      <scheme val="minor"/>
    </font>
    <font>
      <b/>
      <sz val="12"/>
      <color indexed="60"/>
      <name val="Times New Roman"/>
      <family val="1"/>
    </font>
    <font>
      <i/>
      <sz val="12"/>
      <name val="Times New Roman"/>
      <family val="1"/>
    </font>
    <font>
      <sz val="11"/>
      <name val="ＭＳ Ｐゴシック"/>
      <family val="2"/>
    </font>
    <font>
      <sz val="12"/>
      <name val="Times New Roman"/>
      <family val="1"/>
    </font>
    <font>
      <b/>
      <sz val="12"/>
      <color rgb="FF993300"/>
      <name val="Times New Roman"/>
      <family val="1"/>
    </font>
    <font>
      <sz val="12"/>
      <color rgb="FFFF0000"/>
      <name val="Times New Roman"/>
      <family val="1"/>
    </font>
    <font>
      <b/>
      <sz val="12"/>
      <color rgb="FFFFFFFF"/>
      <name val="Times New Roman"/>
      <family val="1"/>
    </font>
    <font>
      <b/>
      <sz val="12"/>
      <color rgb="FFFF0000"/>
      <name val="Times New Roman"/>
      <family val="1"/>
    </font>
    <font>
      <i/>
      <sz val="12"/>
      <color theme="6" tint="-0.499984740745262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2"/>
      <color theme="0"/>
      <name val="Times New Roman"/>
      <family val="1"/>
    </font>
    <font>
      <sz val="6"/>
      <name val="ＭＳ Ｐゴシック"/>
      <family val="3"/>
      <charset val="128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37A0D9"/>
      <name val="Times New Roman"/>
      <family val="1"/>
    </font>
    <font>
      <b/>
      <sz val="24"/>
      <color indexed="60"/>
      <name val="Times New Roman"/>
      <family val="1"/>
    </font>
    <font>
      <b/>
      <sz val="11"/>
      <color theme="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color theme="5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000080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2"/>
        <bgColor rgb="FF000080"/>
      </patternFill>
    </fill>
    <fill>
      <patternFill patternType="solid">
        <fgColor theme="4" tint="0.39994506668294322"/>
        <bgColor rgb="FF000080"/>
      </patternFill>
    </fill>
    <fill>
      <patternFill patternType="solid">
        <fgColor theme="0" tint="-0.14996795556505021"/>
        <bgColor rgb="FF000080"/>
      </patternFill>
    </fill>
  </fills>
  <borders count="22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11">
    <xf numFmtId="0" fontId="0" fillId="0" borderId="0" xfId="0"/>
    <xf numFmtId="0" fontId="4" fillId="8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" fontId="16" fillId="3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vertical="center"/>
    </xf>
    <xf numFmtId="176" fontId="11" fillId="10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4" fillId="11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/>
    </xf>
    <xf numFmtId="176" fontId="7" fillId="6" borderId="9" xfId="0" applyNumberFormat="1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15" fontId="4" fillId="2" borderId="9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76" fontId="2" fillId="2" borderId="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 wrapText="1"/>
    </xf>
    <xf numFmtId="176" fontId="11" fillId="6" borderId="2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Border="1" applyAlignment="1">
      <alignment horizontal="left" vertical="center" wrapText="1"/>
    </xf>
    <xf numFmtId="0" fontId="4" fillId="0" borderId="6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176" fontId="11" fillId="6" borderId="10" xfId="0" applyNumberFormat="1" applyFont="1" applyFill="1" applyBorder="1" applyAlignment="1">
      <alignment horizontal="center" vertical="center" wrapText="1"/>
    </xf>
    <xf numFmtId="49" fontId="4" fillId="8" borderId="5" xfId="0" applyNumberFormat="1" applyFont="1" applyFill="1" applyBorder="1" applyAlignment="1">
      <alignment vertical="center" wrapText="1"/>
    </xf>
    <xf numFmtId="176" fontId="11" fillId="9" borderId="11" xfId="0" applyNumberFormat="1" applyFont="1" applyFill="1" applyBorder="1" applyAlignment="1">
      <alignment horizontal="center" vertical="center" wrapText="1"/>
    </xf>
    <xf numFmtId="1" fontId="1" fillId="4" borderId="9" xfId="0" applyNumberFormat="1" applyFont="1" applyFill="1" applyBorder="1" applyAlignment="1">
      <alignment horizontal="center" vertical="center"/>
    </xf>
    <xf numFmtId="49" fontId="2" fillId="4" borderId="6" xfId="1" applyNumberFormat="1" applyFont="1" applyFill="1" applyBorder="1" applyAlignment="1">
      <alignment horizontal="center" vertical="center"/>
    </xf>
    <xf numFmtId="49" fontId="2" fillId="4" borderId="8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176" fontId="11" fillId="6" borderId="2" xfId="0" applyNumberFormat="1" applyFont="1" applyFill="1" applyBorder="1" applyAlignment="1">
      <alignment horizontal="center" vertical="center" wrapText="1"/>
    </xf>
    <xf numFmtId="176" fontId="11" fillId="6" borderId="3" xfId="0" applyNumberFormat="1" applyFont="1" applyFill="1" applyBorder="1" applyAlignment="1">
      <alignment horizontal="center" vertical="center" wrapText="1"/>
    </xf>
    <xf numFmtId="176" fontId="11" fillId="6" borderId="6" xfId="0" applyNumberFormat="1" applyFont="1" applyFill="1" applyBorder="1" applyAlignment="1">
      <alignment horizontal="center" vertical="center" wrapText="1"/>
    </xf>
    <xf numFmtId="176" fontId="11" fillId="6" borderId="7" xfId="0" applyNumberFormat="1" applyFont="1" applyFill="1" applyBorder="1" applyAlignment="1">
      <alignment horizontal="center" vertical="center" wrapText="1"/>
    </xf>
    <xf numFmtId="176" fontId="11" fillId="6" borderId="8" xfId="0" applyNumberFormat="1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4" fillId="12" borderId="11" xfId="0" applyFont="1" applyFill="1" applyBorder="1" applyAlignment="1">
      <alignment horizontal="center" vertical="center" wrapText="1"/>
    </xf>
    <xf numFmtId="0" fontId="13" fillId="13" borderId="11" xfId="0" applyFont="1" applyFill="1" applyBorder="1" applyAlignment="1">
      <alignment horizontal="center" vertical="center" wrapText="1"/>
    </xf>
    <xf numFmtId="0" fontId="14" fillId="13" borderId="11" xfId="0" applyFont="1" applyFill="1" applyBorder="1" applyAlignment="1">
      <alignment horizontal="center" vertical="center" wrapText="1"/>
    </xf>
    <xf numFmtId="9" fontId="8" fillId="13" borderId="11" xfId="0" applyNumberFormat="1" applyFont="1" applyFill="1" applyBorder="1" applyAlignment="1">
      <alignment horizontal="center" vertical="center" wrapText="1"/>
    </xf>
    <xf numFmtId="0" fontId="13" fillId="14" borderId="11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9" fontId="8" fillId="14" borderId="11" xfId="0" applyNumberFormat="1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3" fillId="5" borderId="12" xfId="0" applyFont="1" applyFill="1" applyBorder="1" applyAlignment="1">
      <alignment horizontal="center" vertical="center" wrapText="1"/>
    </xf>
    <xf numFmtId="0" fontId="19" fillId="5" borderId="5" xfId="0" applyFont="1" applyFill="1" applyBorder="1" applyAlignment="1">
      <alignment horizontal="center" vertical="center" wrapText="1"/>
    </xf>
    <xf numFmtId="0" fontId="13" fillId="16" borderId="11" xfId="0" applyFont="1" applyFill="1" applyBorder="1" applyAlignment="1">
      <alignment horizontal="center" vertical="center" wrapText="1"/>
    </xf>
    <xf numFmtId="0" fontId="14" fillId="16" borderId="11" xfId="0" applyFont="1" applyFill="1" applyBorder="1" applyAlignment="1">
      <alignment horizontal="center" vertical="center" wrapText="1"/>
    </xf>
    <xf numFmtId="0" fontId="13" fillId="17" borderId="11" xfId="0" applyFont="1" applyFill="1" applyBorder="1" applyAlignment="1">
      <alignment horizontal="center" vertical="center" wrapText="1"/>
    </xf>
    <xf numFmtId="0" fontId="14" fillId="17" borderId="11" xfId="0" applyFont="1" applyFill="1" applyBorder="1" applyAlignment="1">
      <alignment horizontal="center" vertical="center" wrapText="1"/>
    </xf>
    <xf numFmtId="0" fontId="13" fillId="18" borderId="11" xfId="0" applyFont="1" applyFill="1" applyBorder="1" applyAlignment="1">
      <alignment horizontal="center" vertical="center" wrapText="1"/>
    </xf>
    <xf numFmtId="0" fontId="14" fillId="18" borderId="11" xfId="0" applyFont="1" applyFill="1" applyBorder="1" applyAlignment="1">
      <alignment horizontal="center" vertical="center" wrapText="1"/>
    </xf>
    <xf numFmtId="0" fontId="14" fillId="5" borderId="11" xfId="0" applyFont="1" applyFill="1" applyBorder="1" applyAlignment="1">
      <alignment horizontal="center" vertical="center" wrapText="1"/>
    </xf>
    <xf numFmtId="0" fontId="11" fillId="15" borderId="11" xfId="0" applyFont="1" applyFill="1" applyBorder="1" applyAlignment="1">
      <alignment horizontal="center" vertical="center" wrapText="1"/>
    </xf>
    <xf numFmtId="0" fontId="11" fillId="15" borderId="11" xfId="0" applyFont="1" applyFill="1" applyBorder="1" applyAlignment="1">
      <alignment horizontal="center" vertical="center" wrapText="1"/>
    </xf>
    <xf numFmtId="0" fontId="13" fillId="5" borderId="14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3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3" fillId="5" borderId="13" xfId="0" applyFont="1" applyFill="1" applyBorder="1" applyAlignment="1">
      <alignment horizontal="center" vertical="center" wrapText="1"/>
    </xf>
    <xf numFmtId="0" fontId="13" fillId="16" borderId="14" xfId="0" applyFont="1" applyFill="1" applyBorder="1" applyAlignment="1">
      <alignment horizontal="center" vertical="center" wrapText="1"/>
    </xf>
    <xf numFmtId="0" fontId="14" fillId="16" borderId="14" xfId="0" applyFont="1" applyFill="1" applyBorder="1" applyAlignment="1">
      <alignment horizontal="center" vertical="center" wrapText="1"/>
    </xf>
    <xf numFmtId="0" fontId="13" fillId="17" borderId="14" xfId="0" applyFont="1" applyFill="1" applyBorder="1" applyAlignment="1">
      <alignment horizontal="center" vertical="center" wrapText="1"/>
    </xf>
    <xf numFmtId="0" fontId="14" fillId="17" borderId="14" xfId="0" applyFont="1" applyFill="1" applyBorder="1" applyAlignment="1">
      <alignment horizontal="center" vertical="center" wrapText="1"/>
    </xf>
    <xf numFmtId="0" fontId="13" fillId="18" borderId="14" xfId="0" applyFont="1" applyFill="1" applyBorder="1" applyAlignment="1">
      <alignment horizontal="center" vertical="center" wrapText="1"/>
    </xf>
    <xf numFmtId="0" fontId="14" fillId="18" borderId="14" xfId="0" applyFont="1" applyFill="1" applyBorder="1" applyAlignment="1">
      <alignment horizontal="center" vertical="center" wrapText="1"/>
    </xf>
    <xf numFmtId="0" fontId="14" fillId="5" borderId="14" xfId="0" applyFont="1" applyFill="1" applyBorder="1" applyAlignment="1">
      <alignment horizontal="center" vertical="center" wrapText="1"/>
    </xf>
    <xf numFmtId="0" fontId="13" fillId="5" borderId="16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15" xfId="0" applyFont="1" applyBorder="1" applyAlignment="1">
      <alignment horizontal="center" vertical="center" wrapText="1"/>
    </xf>
    <xf numFmtId="176" fontId="11" fillId="9" borderId="11" xfId="0" applyNumberFormat="1" applyFont="1" applyFill="1" applyBorder="1" applyAlignment="1">
      <alignment horizontal="center" vertical="center" wrapText="1"/>
    </xf>
    <xf numFmtId="0" fontId="17" fillId="9" borderId="1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/>
    <xf numFmtId="176" fontId="11" fillId="9" borderId="18" xfId="0" applyNumberFormat="1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center" vertical="center" wrapText="1"/>
    </xf>
    <xf numFmtId="9" fontId="4" fillId="7" borderId="18" xfId="0" applyNumberFormat="1" applyFont="1" applyFill="1" applyBorder="1" applyAlignment="1">
      <alignment horizontal="center" vertical="center" wrapText="1"/>
    </xf>
    <xf numFmtId="0" fontId="4" fillId="7" borderId="18" xfId="0" applyFont="1" applyFill="1" applyBorder="1" applyAlignment="1">
      <alignment horizontal="right" vertical="center" wrapText="1"/>
    </xf>
    <xf numFmtId="0" fontId="4" fillId="0" borderId="11" xfId="0" applyFont="1" applyFill="1" applyBorder="1" applyAlignment="1">
      <alignment vertical="center" wrapText="1"/>
    </xf>
    <xf numFmtId="14" fontId="4" fillId="0" borderId="11" xfId="0" applyNumberFormat="1" applyFont="1" applyFill="1" applyBorder="1" applyAlignment="1">
      <alignment vertical="center" wrapText="1"/>
    </xf>
    <xf numFmtId="0" fontId="0" fillId="0" borderId="11" xfId="0" applyFill="1" applyBorder="1" applyAlignment="1"/>
    <xf numFmtId="0" fontId="13" fillId="5" borderId="19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1" xfId="0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47625</xdr:rowOff>
    </xdr:from>
    <xdr:to>
      <xdr:col>2</xdr:col>
      <xdr:colOff>469900</xdr:colOff>
      <xdr:row>1</xdr:row>
      <xdr:rowOff>152400</xdr:rowOff>
    </xdr:to>
    <xdr:pic>
      <xdr:nvPicPr>
        <xdr:cNvPr id="2" name="Picture 1" descr="Logo_Only_blu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47625"/>
          <a:ext cx="1679575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0</xdr:rowOff>
        </xdr:from>
        <xdr:to>
          <xdr:col>3</xdr:col>
          <xdr:colOff>171450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workbookViewId="0">
      <selection activeCell="D3" sqref="D3"/>
    </sheetView>
  </sheetViews>
  <sheetFormatPr defaultColWidth="8.875" defaultRowHeight="15.75" x14ac:dyDescent="0.15"/>
  <cols>
    <col min="1" max="1" width="4.875" style="5" customWidth="1"/>
    <col min="2" max="2" width="16" style="5" customWidth="1"/>
    <col min="3" max="3" width="9" style="5" customWidth="1"/>
    <col min="4" max="4" width="22.375" style="5" customWidth="1"/>
    <col min="5" max="5" width="9.375" style="5" customWidth="1"/>
    <col min="6" max="6" width="18.625" style="5" customWidth="1"/>
    <col min="7" max="7" width="18.375" style="5" customWidth="1"/>
    <col min="8" max="8" width="12.875" style="5" customWidth="1"/>
    <col min="9" max="16384" width="8.875" style="5"/>
  </cols>
  <sheetData>
    <row r="1" spans="1:8" ht="39.75" customHeight="1" x14ac:dyDescent="0.15">
      <c r="A1" s="8"/>
      <c r="B1" s="7"/>
      <c r="C1" s="9"/>
      <c r="D1" s="12" t="s">
        <v>0</v>
      </c>
      <c r="E1" s="9"/>
      <c r="F1" s="9"/>
      <c r="G1" s="9"/>
      <c r="H1" s="6"/>
    </row>
    <row r="2" spans="1:8" x14ac:dyDescent="0.15">
      <c r="A2" s="8"/>
      <c r="B2" s="7"/>
      <c r="C2" s="9"/>
      <c r="D2" s="9"/>
      <c r="E2" s="9"/>
      <c r="F2" s="9"/>
      <c r="G2" s="9"/>
      <c r="H2" s="6"/>
    </row>
    <row r="3" spans="1:8" x14ac:dyDescent="0.15">
      <c r="A3" s="8"/>
      <c r="B3" s="41" t="s">
        <v>1</v>
      </c>
      <c r="C3" s="41"/>
      <c r="D3" s="21" t="s">
        <v>2</v>
      </c>
      <c r="E3" s="41" t="s">
        <v>3</v>
      </c>
      <c r="F3" s="41"/>
      <c r="G3" s="42" t="s">
        <v>4</v>
      </c>
      <c r="H3" s="43"/>
    </row>
    <row r="4" spans="1:8" x14ac:dyDescent="0.15">
      <c r="A4" s="8"/>
      <c r="B4" s="41" t="s">
        <v>5</v>
      </c>
      <c r="C4" s="41"/>
      <c r="D4" s="21" t="s">
        <v>6</v>
      </c>
      <c r="E4" s="41" t="s">
        <v>7</v>
      </c>
      <c r="F4" s="41"/>
      <c r="G4" s="44"/>
      <c r="H4" s="45"/>
    </row>
    <row r="5" spans="1:8" x14ac:dyDescent="0.15">
      <c r="A5" s="8"/>
      <c r="B5" s="7"/>
      <c r="C5" s="9"/>
      <c r="D5" s="9"/>
      <c r="E5" s="9"/>
      <c r="F5" s="9"/>
      <c r="G5" s="9"/>
      <c r="H5" s="6"/>
    </row>
    <row r="6" spans="1:8" x14ac:dyDescent="0.15">
      <c r="A6" s="8"/>
      <c r="B6" s="10" t="s">
        <v>8</v>
      </c>
      <c r="C6" s="8"/>
      <c r="D6" s="8"/>
      <c r="E6" s="8"/>
      <c r="F6" s="8"/>
      <c r="G6" s="8"/>
      <c r="H6" s="11" t="s">
        <v>9</v>
      </c>
    </row>
    <row r="7" spans="1:8" ht="31.5" x14ac:dyDescent="0.15">
      <c r="A7" s="8"/>
      <c r="B7" s="22" t="s">
        <v>10</v>
      </c>
      <c r="C7" s="22" t="s">
        <v>11</v>
      </c>
      <c r="D7" s="22" t="s">
        <v>12</v>
      </c>
      <c r="E7" s="22" t="s">
        <v>13</v>
      </c>
      <c r="F7" s="22" t="s">
        <v>14</v>
      </c>
      <c r="G7" s="22" t="s">
        <v>15</v>
      </c>
      <c r="H7" s="22" t="s">
        <v>16</v>
      </c>
    </row>
    <row r="8" spans="1:8" x14ac:dyDescent="0.15">
      <c r="A8" s="8"/>
      <c r="B8" s="23"/>
      <c r="C8" s="24"/>
      <c r="D8" s="25"/>
      <c r="E8" s="26"/>
      <c r="F8" s="27"/>
      <c r="G8" s="23"/>
      <c r="H8" s="28"/>
    </row>
    <row r="9" spans="1:8" x14ac:dyDescent="0.15">
      <c r="A9" s="8"/>
      <c r="B9" s="29"/>
      <c r="C9" s="24"/>
      <c r="D9" s="25"/>
      <c r="E9" s="26"/>
      <c r="F9" s="27"/>
      <c r="G9" s="25"/>
      <c r="H9" s="28"/>
    </row>
    <row r="10" spans="1:8" x14ac:dyDescent="0.15">
      <c r="A10" s="8"/>
      <c r="B10" s="29"/>
      <c r="C10" s="24"/>
      <c r="D10" s="25"/>
      <c r="E10" s="26"/>
      <c r="F10" s="27"/>
      <c r="G10" s="25"/>
      <c r="H10" s="28"/>
    </row>
    <row r="11" spans="1:8" x14ac:dyDescent="0.15">
      <c r="A11" s="8"/>
      <c r="B11" s="29"/>
      <c r="C11" s="24"/>
      <c r="D11" s="25"/>
      <c r="E11" s="26"/>
      <c r="F11" s="27"/>
      <c r="G11" s="25"/>
      <c r="H11" s="28"/>
    </row>
    <row r="12" spans="1:8" x14ac:dyDescent="0.15">
      <c r="A12" s="8"/>
      <c r="B12" s="29"/>
      <c r="C12" s="24"/>
      <c r="D12" s="25"/>
      <c r="E12" s="26"/>
      <c r="F12" s="27"/>
      <c r="G12" s="25"/>
      <c r="H12" s="28"/>
    </row>
    <row r="13" spans="1:8" x14ac:dyDescent="0.15">
      <c r="A13" s="8"/>
      <c r="B13" s="29"/>
      <c r="C13" s="24"/>
      <c r="D13" s="25"/>
      <c r="E13" s="26"/>
      <c r="F13" s="27"/>
      <c r="G13" s="25"/>
      <c r="H13" s="28"/>
    </row>
    <row r="14" spans="1:8" x14ac:dyDescent="0.15">
      <c r="A14" s="8"/>
      <c r="B14" s="29"/>
      <c r="C14" s="24"/>
      <c r="D14" s="25"/>
      <c r="E14" s="26"/>
      <c r="F14" s="27"/>
      <c r="G14" s="25"/>
      <c r="H14" s="28"/>
    </row>
    <row r="15" spans="1:8" x14ac:dyDescent="0.15">
      <c r="A15" s="8"/>
      <c r="B15" s="29"/>
      <c r="C15" s="24"/>
      <c r="D15" s="25"/>
      <c r="E15" s="26"/>
      <c r="F15" s="27"/>
      <c r="G15" s="25"/>
      <c r="H15" s="28"/>
    </row>
    <row r="16" spans="1:8" x14ac:dyDescent="0.15">
      <c r="A16" s="8"/>
      <c r="B16" s="29"/>
      <c r="C16" s="24"/>
      <c r="D16" s="25"/>
      <c r="E16" s="26"/>
      <c r="F16" s="27"/>
      <c r="G16" s="25"/>
      <c r="H16" s="28"/>
    </row>
    <row r="17" spans="1:8" x14ac:dyDescent="0.15">
      <c r="A17" s="8"/>
      <c r="B17" s="29"/>
      <c r="C17" s="24"/>
      <c r="D17" s="25"/>
      <c r="E17" s="26"/>
      <c r="F17" s="27"/>
      <c r="G17" s="25"/>
      <c r="H17" s="28"/>
    </row>
    <row r="18" spans="1:8" x14ac:dyDescent="0.15">
      <c r="A18" s="8"/>
      <c r="B18" s="29"/>
      <c r="C18" s="24"/>
      <c r="D18" s="25"/>
      <c r="E18" s="26"/>
      <c r="F18" s="27"/>
      <c r="G18" s="25"/>
      <c r="H18" s="28"/>
    </row>
    <row r="19" spans="1:8" x14ac:dyDescent="0.15">
      <c r="A19" s="8"/>
      <c r="B19" s="8"/>
      <c r="C19" s="8"/>
      <c r="D19" s="8"/>
      <c r="E19" s="8"/>
      <c r="F19" s="8"/>
      <c r="G19" s="8"/>
      <c r="H19" s="6"/>
    </row>
    <row r="20" spans="1:8" x14ac:dyDescent="0.15">
      <c r="A20" s="8"/>
      <c r="B20" s="8"/>
      <c r="C20" s="8"/>
      <c r="D20" s="8"/>
      <c r="E20" s="8"/>
      <c r="F20" s="8"/>
      <c r="G20" s="8"/>
      <c r="H20" s="6"/>
    </row>
    <row r="21" spans="1:8" x14ac:dyDescent="0.15">
      <c r="A21" s="8"/>
      <c r="B21" s="8"/>
      <c r="C21" s="8"/>
      <c r="D21" s="8"/>
      <c r="E21" s="8"/>
      <c r="F21" s="8"/>
      <c r="G21" s="8"/>
      <c r="H21" s="6"/>
    </row>
    <row r="22" spans="1:8" x14ac:dyDescent="0.15">
      <c r="A22" s="8"/>
      <c r="B22" s="8"/>
      <c r="C22" s="8"/>
      <c r="D22" s="8"/>
      <c r="E22" s="8"/>
      <c r="F22" s="8"/>
      <c r="G22" s="8"/>
      <c r="H22" s="6"/>
    </row>
    <row r="23" spans="1:8" x14ac:dyDescent="0.15">
      <c r="A23" s="8"/>
      <c r="B23" s="8"/>
      <c r="C23" s="8"/>
      <c r="D23" s="8"/>
      <c r="E23" s="8"/>
      <c r="F23" s="8"/>
      <c r="G23" s="8"/>
      <c r="H23" s="6"/>
    </row>
    <row r="24" spans="1:8" x14ac:dyDescent="0.15">
      <c r="A24" s="8"/>
      <c r="B24" s="8"/>
      <c r="C24" s="8"/>
      <c r="D24" s="8"/>
      <c r="E24" s="8"/>
      <c r="F24" s="8"/>
      <c r="G24" s="8"/>
      <c r="H24" s="6"/>
    </row>
    <row r="25" spans="1:8" x14ac:dyDescent="0.15">
      <c r="A25" s="8"/>
      <c r="B25" s="8"/>
      <c r="C25" s="8"/>
      <c r="D25" s="8"/>
      <c r="E25" s="8"/>
      <c r="F25" s="8"/>
      <c r="G25" s="8"/>
      <c r="H25" s="6"/>
    </row>
    <row r="26" spans="1:8" x14ac:dyDescent="0.15">
      <c r="A26" s="8"/>
      <c r="B26" s="8"/>
      <c r="C26" s="8"/>
      <c r="D26" s="8"/>
      <c r="E26" s="8"/>
      <c r="F26" s="8"/>
      <c r="G26" s="8"/>
      <c r="H26" s="6"/>
    </row>
  </sheetData>
  <mergeCells count="6">
    <mergeCell ref="B3:C3"/>
    <mergeCell ref="E3:F3"/>
    <mergeCell ref="G3:H3"/>
    <mergeCell ref="B4:C4"/>
    <mergeCell ref="E4:F4"/>
    <mergeCell ref="G4:H4"/>
  </mergeCells>
  <phoneticPr fontId="12"/>
  <pageMargins left="0.7" right="0.7" top="0.75" bottom="0.75" header="0.3" footer="0.3"/>
  <pageSetup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27"/>
  <sheetViews>
    <sheetView tabSelected="1" zoomScale="90" zoomScaleNormal="90" zoomScalePageLayoutView="180" workbookViewId="0">
      <selection activeCell="A24" sqref="A24:X27"/>
    </sheetView>
  </sheetViews>
  <sheetFormatPr defaultColWidth="8.625" defaultRowHeight="15.75" x14ac:dyDescent="0.15"/>
  <cols>
    <col min="1" max="1" width="4.625" style="13" customWidth="1"/>
    <col min="2" max="2" width="16.625" style="13" customWidth="1"/>
    <col min="3" max="3" width="13.625" style="13" customWidth="1"/>
    <col min="4" max="7" width="10.125" style="13" customWidth="1"/>
    <col min="8" max="8" width="10.125" style="14" customWidth="1"/>
    <col min="9" max="12" width="10.125" style="13" customWidth="1"/>
    <col min="13" max="13" width="10.125" style="14" customWidth="1"/>
    <col min="14" max="17" width="10.125" style="13" customWidth="1"/>
    <col min="18" max="19" width="8.625" style="14"/>
    <col min="20" max="25" width="8.625" style="13"/>
    <col min="26" max="26" width="4.625" style="13" customWidth="1"/>
    <col min="27" max="27" width="16.625" style="13" customWidth="1"/>
    <col min="28" max="28" width="13.625" style="13" customWidth="1"/>
    <col min="29" max="49" width="10.125" style="13" customWidth="1"/>
    <col min="50" max="16384" width="8.625" style="13"/>
  </cols>
  <sheetData>
    <row r="2" spans="1:24" x14ac:dyDescent="0.15">
      <c r="A2" s="55"/>
      <c r="B2" s="55"/>
      <c r="C2" s="67"/>
      <c r="D2" s="57" t="s">
        <v>17</v>
      </c>
      <c r="E2" s="57"/>
      <c r="F2" s="57"/>
      <c r="G2" s="57"/>
      <c r="H2" s="57"/>
      <c r="I2" s="57"/>
      <c r="J2" s="57"/>
      <c r="K2" s="57" t="s">
        <v>55</v>
      </c>
      <c r="L2" s="57"/>
      <c r="M2" s="57"/>
      <c r="N2" s="57"/>
      <c r="O2" s="57"/>
      <c r="P2" s="57"/>
      <c r="Q2" s="57"/>
    </row>
    <row r="3" spans="1:24" ht="31.5" x14ac:dyDescent="0.15">
      <c r="A3" s="68" t="s">
        <v>52</v>
      </c>
      <c r="B3" s="91"/>
      <c r="C3" s="66"/>
      <c r="D3" s="58" t="s">
        <v>18</v>
      </c>
      <c r="E3" s="58" t="s">
        <v>19</v>
      </c>
      <c r="F3" s="58" t="s">
        <v>20</v>
      </c>
      <c r="G3" s="58" t="s">
        <v>21</v>
      </c>
      <c r="H3" s="58" t="s">
        <v>22</v>
      </c>
      <c r="I3" s="58" t="s">
        <v>53</v>
      </c>
      <c r="J3" s="58" t="s">
        <v>54</v>
      </c>
      <c r="K3" s="58" t="s">
        <v>18</v>
      </c>
      <c r="L3" s="58" t="s">
        <v>19</v>
      </c>
      <c r="M3" s="58" t="s">
        <v>20</v>
      </c>
      <c r="N3" s="58" t="s">
        <v>21</v>
      </c>
      <c r="O3" s="58" t="s">
        <v>22</v>
      </c>
      <c r="P3" s="58" t="s">
        <v>53</v>
      </c>
      <c r="Q3" s="58" t="s">
        <v>54</v>
      </c>
    </row>
    <row r="4" spans="1:24" x14ac:dyDescent="0.15">
      <c r="A4" s="59" t="s">
        <v>23</v>
      </c>
      <c r="B4" s="92"/>
      <c r="C4" s="56" t="s">
        <v>73</v>
      </c>
      <c r="D4" s="60">
        <f>D10+I10+N10</f>
        <v>0</v>
      </c>
      <c r="E4" s="60">
        <f>E10+J10+O10</f>
        <v>0</v>
      </c>
      <c r="F4" s="60">
        <f>F10+K10+P10</f>
        <v>0</v>
      </c>
      <c r="G4" s="60">
        <f>G10+L10+Q10</f>
        <v>0</v>
      </c>
      <c r="H4" s="61">
        <f>H10+M10+R10</f>
        <v>3</v>
      </c>
      <c r="I4" s="62">
        <f>ROUND((D4+E4)*100/(H4-G4),2)</f>
        <v>0</v>
      </c>
      <c r="J4" s="62">
        <f>ROUND(D4*100/(H4-G4),2)</f>
        <v>0</v>
      </c>
      <c r="K4" s="63">
        <f>D16+I16+N16</f>
        <v>0</v>
      </c>
      <c r="L4" s="63">
        <f>E16+J16+O16</f>
        <v>0</v>
      </c>
      <c r="M4" s="63">
        <f>F16+K16+P16</f>
        <v>0</v>
      </c>
      <c r="N4" s="63">
        <f>G16+L16+Q16</f>
        <v>0</v>
      </c>
      <c r="O4" s="64">
        <f>H16+M16+R16</f>
        <v>3</v>
      </c>
      <c r="P4" s="65">
        <f>ROUND((K4+L4)*100/(O4-N4),2)</f>
        <v>0</v>
      </c>
      <c r="Q4" s="65">
        <f>ROUND(K4*100/(O4-N4),2)</f>
        <v>0</v>
      </c>
    </row>
    <row r="6" spans="1:24" x14ac:dyDescent="0.15">
      <c r="A6" s="54" t="s">
        <v>56</v>
      </c>
      <c r="B6" s="93"/>
    </row>
    <row r="7" spans="1:24" x14ac:dyDescent="0.15">
      <c r="A7" s="57" t="s">
        <v>57</v>
      </c>
      <c r="B7" s="57"/>
      <c r="C7" s="57"/>
      <c r="D7" s="57" t="s">
        <v>58</v>
      </c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 t="s">
        <v>61</v>
      </c>
      <c r="T7" s="57"/>
      <c r="U7" s="57"/>
      <c r="V7" s="57" t="s">
        <v>62</v>
      </c>
      <c r="W7" s="57"/>
      <c r="X7" s="57"/>
    </row>
    <row r="8" spans="1:24" x14ac:dyDescent="0.15">
      <c r="A8" s="57"/>
      <c r="B8" s="57"/>
      <c r="C8" s="57"/>
      <c r="D8" s="57" t="s">
        <v>24</v>
      </c>
      <c r="E8" s="57"/>
      <c r="F8" s="57"/>
      <c r="G8" s="57"/>
      <c r="H8" s="57"/>
      <c r="I8" s="57" t="s">
        <v>59</v>
      </c>
      <c r="J8" s="57"/>
      <c r="K8" s="57"/>
      <c r="L8" s="57"/>
      <c r="M8" s="57"/>
      <c r="N8" s="57" t="s">
        <v>60</v>
      </c>
      <c r="O8" s="57"/>
      <c r="P8" s="57"/>
      <c r="Q8" s="57"/>
      <c r="R8" s="57"/>
      <c r="S8" s="57" t="s">
        <v>24</v>
      </c>
      <c r="T8" s="57" t="s">
        <v>25</v>
      </c>
      <c r="U8" s="57" t="s">
        <v>26</v>
      </c>
      <c r="V8" s="57" t="s">
        <v>24</v>
      </c>
      <c r="W8" s="57" t="s">
        <v>25</v>
      </c>
      <c r="X8" s="57" t="s">
        <v>26</v>
      </c>
    </row>
    <row r="9" spans="1:24" x14ac:dyDescent="0.15">
      <c r="A9" s="57"/>
      <c r="B9" s="57"/>
      <c r="C9" s="57"/>
      <c r="D9" s="58" t="s">
        <v>18</v>
      </c>
      <c r="E9" s="58" t="s">
        <v>19</v>
      </c>
      <c r="F9" s="58" t="s">
        <v>20</v>
      </c>
      <c r="G9" s="58" t="s">
        <v>21</v>
      </c>
      <c r="H9" s="58" t="s">
        <v>22</v>
      </c>
      <c r="I9" s="58" t="s">
        <v>18</v>
      </c>
      <c r="J9" s="58" t="s">
        <v>19</v>
      </c>
      <c r="K9" s="58" t="s">
        <v>20</v>
      </c>
      <c r="L9" s="58" t="s">
        <v>21</v>
      </c>
      <c r="M9" s="58" t="s">
        <v>22</v>
      </c>
      <c r="N9" s="58" t="s">
        <v>18</v>
      </c>
      <c r="O9" s="58" t="s">
        <v>19</v>
      </c>
      <c r="P9" s="58" t="s">
        <v>20</v>
      </c>
      <c r="Q9" s="58" t="s">
        <v>21</v>
      </c>
      <c r="R9" s="58" t="s">
        <v>22</v>
      </c>
      <c r="S9" s="57"/>
      <c r="T9" s="57"/>
      <c r="U9" s="57"/>
      <c r="V9" s="57"/>
      <c r="W9" s="57"/>
      <c r="X9" s="57"/>
    </row>
    <row r="10" spans="1:24" x14ac:dyDescent="0.15">
      <c r="A10" s="59" t="s">
        <v>23</v>
      </c>
      <c r="B10" s="92"/>
      <c r="C10" s="56" t="str">
        <f>C4</f>
        <v>Chrome</v>
      </c>
      <c r="D10" s="69">
        <f>SUMIF(C22:C22,C10,D22:D22)</f>
        <v>0</v>
      </c>
      <c r="E10" s="69">
        <f>SUMIF(C22:C22,C10,E22:E22)</f>
        <v>0</v>
      </c>
      <c r="F10" s="69">
        <f>SUMIF(C22:C22,C10,F22:F22)</f>
        <v>0</v>
      </c>
      <c r="G10" s="69">
        <f>SUMIF(C22:C22,C10,G22:G22)</f>
        <v>0</v>
      </c>
      <c r="H10" s="70">
        <f>SUMIF(C22:C22,C10,H22:H22)</f>
        <v>1</v>
      </c>
      <c r="I10" s="71">
        <f>SUMIF(C22:C22,C10,I22:I22)</f>
        <v>0</v>
      </c>
      <c r="J10" s="71">
        <f>SUMIF(C22:C22,C10,J22:J22)</f>
        <v>0</v>
      </c>
      <c r="K10" s="71">
        <f>SUMIF(C22:C22,C10,K22:K22)</f>
        <v>0</v>
      </c>
      <c r="L10" s="71">
        <f>SUMIF(C22:C22,C10,L22:L22)</f>
        <v>0</v>
      </c>
      <c r="M10" s="72">
        <f>SUMIF(C22:C22,C10,M22:M22)</f>
        <v>1</v>
      </c>
      <c r="N10" s="73">
        <f>SUMIF(C22:C22,C10,N22:N22)</f>
        <v>0</v>
      </c>
      <c r="O10" s="73">
        <f>SUMIF(C22:C22,C10,O22:O22)</f>
        <v>0</v>
      </c>
      <c r="P10" s="73">
        <f>SUMIF(C22:C22,C10,P22:P22)</f>
        <v>0</v>
      </c>
      <c r="Q10" s="73">
        <f>SUMIF(C22:C22,C10,Q22:Q22)</f>
        <v>0</v>
      </c>
      <c r="R10" s="74">
        <f>SUMIF(C22:C22,C10,R22:R22)</f>
        <v>1</v>
      </c>
      <c r="S10" s="75">
        <f>ROUND((D10+E10)*100/(H10-G10),2)</f>
        <v>0</v>
      </c>
      <c r="T10" s="56">
        <f>ROUND((I10+J10)*100/(M10-L10),2)</f>
        <v>0</v>
      </c>
      <c r="U10" s="56">
        <f>ROUND((N10+O10)*100/(R10-Q10),2)</f>
        <v>0</v>
      </c>
      <c r="V10" s="75">
        <f>ROUND(D10*100/(H10-G10),2)</f>
        <v>0</v>
      </c>
      <c r="W10" s="56">
        <f>ROUND(I10*100/(M10-L10),2)</f>
        <v>0</v>
      </c>
      <c r="X10" s="56">
        <f>ROUND(N10*100/(R10-Q10),2)</f>
        <v>0</v>
      </c>
    </row>
    <row r="11" spans="1:24" x14ac:dyDescent="0.15">
      <c r="A11" s="76" t="s">
        <v>63</v>
      </c>
      <c r="B11" s="76"/>
      <c r="C11" s="76"/>
      <c r="D11" s="77">
        <f>SUM(D10:D10)</f>
        <v>0</v>
      </c>
      <c r="E11" s="77">
        <f>SUM(E10:E10)</f>
        <v>0</v>
      </c>
      <c r="F11" s="77">
        <f>SUM(F10:F10)</f>
        <v>0</v>
      </c>
      <c r="G11" s="77">
        <f>SUM(G10:G10)</f>
        <v>0</v>
      </c>
      <c r="H11" s="77">
        <f>SUM(H10:H10)</f>
        <v>1</v>
      </c>
      <c r="I11" s="77">
        <f>SUM(I10:I10)</f>
        <v>0</v>
      </c>
      <c r="J11" s="77">
        <f>SUM(J10:J10)</f>
        <v>0</v>
      </c>
      <c r="K11" s="77">
        <f>SUM(K10:K10)</f>
        <v>0</v>
      </c>
      <c r="L11" s="77">
        <f>SUM(L10:L10)</f>
        <v>0</v>
      </c>
      <c r="M11" s="77">
        <f>SUM(M10:M10)</f>
        <v>1</v>
      </c>
      <c r="N11" s="77">
        <f>SUM(N10:N10)</f>
        <v>0</v>
      </c>
      <c r="O11" s="77">
        <f>SUM(O10:O10)</f>
        <v>0</v>
      </c>
      <c r="P11" s="77">
        <f>SUM(P10:P10)</f>
        <v>0</v>
      </c>
      <c r="Q11" s="77">
        <f>SUM(Q10:Q10)</f>
        <v>0</v>
      </c>
      <c r="R11" s="77">
        <f>SUM(R10:R10)</f>
        <v>1</v>
      </c>
      <c r="S11" s="77">
        <f>ROUND(AVERAGE(S10:S10),2)</f>
        <v>0</v>
      </c>
      <c r="T11" s="77">
        <f>ROUND(AVERAGE(T10:T10),2)</f>
        <v>0</v>
      </c>
      <c r="U11" s="77">
        <f>ROUND(AVERAGE(U10:U10),2)</f>
        <v>0</v>
      </c>
      <c r="V11" s="77">
        <f>ROUND(AVERAGE(V10:V10),2)</f>
        <v>0</v>
      </c>
      <c r="W11" s="77">
        <f>ROUND(AVERAGE(W10:W10),2)</f>
        <v>0</v>
      </c>
      <c r="X11" s="77">
        <f>ROUND(AVERAGE(X10:X10),2)</f>
        <v>0</v>
      </c>
    </row>
    <row r="13" spans="1:24" x14ac:dyDescent="0.15">
      <c r="A13" s="57" t="s">
        <v>55</v>
      </c>
      <c r="B13" s="57"/>
      <c r="C13" s="57"/>
      <c r="D13" s="57" t="s">
        <v>58</v>
      </c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 t="s">
        <v>61</v>
      </c>
      <c r="T13" s="57"/>
      <c r="U13" s="57"/>
      <c r="V13" s="57" t="s">
        <v>62</v>
      </c>
      <c r="W13" s="57"/>
      <c r="X13" s="57"/>
    </row>
    <row r="14" spans="1:24" x14ac:dyDescent="0.15">
      <c r="A14" s="57"/>
      <c r="B14" s="57"/>
      <c r="C14" s="57"/>
      <c r="D14" s="57" t="s">
        <v>24</v>
      </c>
      <c r="E14" s="57"/>
      <c r="F14" s="57"/>
      <c r="G14" s="57"/>
      <c r="H14" s="57"/>
      <c r="I14" s="57" t="s">
        <v>59</v>
      </c>
      <c r="J14" s="57"/>
      <c r="K14" s="57"/>
      <c r="L14" s="57"/>
      <c r="M14" s="57"/>
      <c r="N14" s="57" t="s">
        <v>60</v>
      </c>
      <c r="O14" s="57"/>
      <c r="P14" s="57"/>
      <c r="Q14" s="57"/>
      <c r="R14" s="57"/>
      <c r="S14" s="57" t="s">
        <v>24</v>
      </c>
      <c r="T14" s="57" t="s">
        <v>25</v>
      </c>
      <c r="U14" s="57" t="s">
        <v>26</v>
      </c>
      <c r="V14" s="57" t="s">
        <v>24</v>
      </c>
      <c r="W14" s="57" t="s">
        <v>25</v>
      </c>
      <c r="X14" s="57" t="s">
        <v>26</v>
      </c>
    </row>
    <row r="15" spans="1:24" x14ac:dyDescent="0.15">
      <c r="A15" s="57"/>
      <c r="B15" s="57"/>
      <c r="C15" s="57"/>
      <c r="D15" s="58" t="s">
        <v>18</v>
      </c>
      <c r="E15" s="58" t="s">
        <v>19</v>
      </c>
      <c r="F15" s="58" t="s">
        <v>20</v>
      </c>
      <c r="G15" s="58" t="s">
        <v>21</v>
      </c>
      <c r="H15" s="58" t="s">
        <v>22</v>
      </c>
      <c r="I15" s="58" t="s">
        <v>18</v>
      </c>
      <c r="J15" s="58" t="s">
        <v>19</v>
      </c>
      <c r="K15" s="58" t="s">
        <v>20</v>
      </c>
      <c r="L15" s="58" t="s">
        <v>21</v>
      </c>
      <c r="M15" s="58" t="s">
        <v>22</v>
      </c>
      <c r="N15" s="58" t="s">
        <v>18</v>
      </c>
      <c r="O15" s="58" t="s">
        <v>19</v>
      </c>
      <c r="P15" s="58" t="s">
        <v>20</v>
      </c>
      <c r="Q15" s="58" t="s">
        <v>21</v>
      </c>
      <c r="R15" s="58" t="s">
        <v>22</v>
      </c>
      <c r="S15" s="57"/>
      <c r="T15" s="57"/>
      <c r="U15" s="57"/>
      <c r="V15" s="57"/>
      <c r="W15" s="57"/>
      <c r="X15" s="57"/>
    </row>
    <row r="16" spans="1:24" x14ac:dyDescent="0.15">
      <c r="A16" s="59" t="s">
        <v>23</v>
      </c>
      <c r="B16" s="92"/>
      <c r="C16" s="56" t="str">
        <f>C4</f>
        <v>Chrome</v>
      </c>
      <c r="D16" s="69">
        <f>SUMIF(C27:C27,C16,D27:D27)</f>
        <v>0</v>
      </c>
      <c r="E16" s="69">
        <f>SUMIF(C27:C27,C16,E27:E27)</f>
        <v>0</v>
      </c>
      <c r="F16" s="69">
        <f>SUMIF(C27:C27,C16,F27:F27)</f>
        <v>0</v>
      </c>
      <c r="G16" s="69">
        <f>SUMIF(C27:C27,C16,G27:G27)</f>
        <v>0</v>
      </c>
      <c r="H16" s="70">
        <f>SUMIF(C27:C27,C16,H27:H27)</f>
        <v>1</v>
      </c>
      <c r="I16" s="71">
        <f>SUMIF(C27:C27,C16,I27:I27)</f>
        <v>0</v>
      </c>
      <c r="J16" s="71">
        <f>SUMIF(C27:C27,C16,J27:J27)</f>
        <v>0</v>
      </c>
      <c r="K16" s="71">
        <f>SUMIF(C27:C27,C16,K27:K27)</f>
        <v>0</v>
      </c>
      <c r="L16" s="71">
        <f>SUMIF(C27:C27,C16,L27:L27)</f>
        <v>0</v>
      </c>
      <c r="M16" s="72">
        <f>SUMIF(C27:C27,C16,M27:M27)</f>
        <v>1</v>
      </c>
      <c r="N16" s="73">
        <f>SUMIF(C27:C27,C16,N27:N27)</f>
        <v>0</v>
      </c>
      <c r="O16" s="73">
        <f>SUMIF(C27:C27,C16,O27:O27)</f>
        <v>0</v>
      </c>
      <c r="P16" s="73">
        <f>SUMIF(C27:C27,C16,P27:P27)</f>
        <v>0</v>
      </c>
      <c r="Q16" s="73">
        <f>SUMIF(C27:C27,C16,Q27:Q27)</f>
        <v>0</v>
      </c>
      <c r="R16" s="74">
        <f>SUMIF(C27:C27,C16,R27:R27)</f>
        <v>1</v>
      </c>
      <c r="S16" s="75">
        <f>ROUND((D16+E16)*100/(H16-G16),2)</f>
        <v>0</v>
      </c>
      <c r="T16" s="56">
        <f>ROUND((I16+J16)*100/(M16-L16),2)</f>
        <v>0</v>
      </c>
      <c r="U16" s="56">
        <f>ROUND((N16+O16)*100/(R16-Q16),2)</f>
        <v>0</v>
      </c>
      <c r="V16" s="75">
        <f>ROUND(D16*100/(H16-G16),2)</f>
        <v>0</v>
      </c>
      <c r="W16" s="56">
        <f>ROUND(I16*100/(M16-L16),2)</f>
        <v>0</v>
      </c>
      <c r="X16" s="56">
        <f>ROUND(N16*100/(R16-Q16),2)</f>
        <v>0</v>
      </c>
    </row>
    <row r="17" spans="1:24" x14ac:dyDescent="0.15">
      <c r="A17" s="76" t="s">
        <v>63</v>
      </c>
      <c r="B17" s="76"/>
      <c r="C17" s="76"/>
      <c r="D17" s="77">
        <f>SUM(D16:D16)</f>
        <v>0</v>
      </c>
      <c r="E17" s="77">
        <f>SUM(E16:E16)</f>
        <v>0</v>
      </c>
      <c r="F17" s="77">
        <f>SUM(F16:F16)</f>
        <v>0</v>
      </c>
      <c r="G17" s="77">
        <f>SUM(G16:G16)</f>
        <v>0</v>
      </c>
      <c r="H17" s="77">
        <f>SUM(H16:H16)</f>
        <v>1</v>
      </c>
      <c r="I17" s="77">
        <f>SUM(I16:I16)</f>
        <v>0</v>
      </c>
      <c r="J17" s="77">
        <f>SUM(J16:J16)</f>
        <v>0</v>
      </c>
      <c r="K17" s="77">
        <f>SUM(K16:K16)</f>
        <v>0</v>
      </c>
      <c r="L17" s="77">
        <f>SUM(L16:L16)</f>
        <v>0</v>
      </c>
      <c r="M17" s="77">
        <f>SUM(M16:M16)</f>
        <v>1</v>
      </c>
      <c r="N17" s="77">
        <f>SUM(N16:N16)</f>
        <v>0</v>
      </c>
      <c r="O17" s="77">
        <f>SUM(O16:O16)</f>
        <v>0</v>
      </c>
      <c r="P17" s="77">
        <f>SUM(P16:P16)</f>
        <v>0</v>
      </c>
      <c r="Q17" s="77">
        <f>SUM(Q16:Q16)</f>
        <v>0</v>
      </c>
      <c r="R17" s="77">
        <f>SUM(R16:R16)</f>
        <v>1</v>
      </c>
      <c r="S17" s="77">
        <f>ROUND(AVERAGE(S16:S16),2)</f>
        <v>0</v>
      </c>
      <c r="T17" s="77">
        <f>ROUND(AVERAGE(T16:T16),2)</f>
        <v>0</v>
      </c>
      <c r="U17" s="77">
        <f>ROUND(AVERAGE(U16:U16),2)</f>
        <v>0</v>
      </c>
      <c r="V17" s="77">
        <f>ROUND(AVERAGE(V16:V16),2)</f>
        <v>0</v>
      </c>
      <c r="W17" s="77">
        <f>ROUND(AVERAGE(W16:W16),2)</f>
        <v>0</v>
      </c>
      <c r="X17" s="77">
        <f>ROUND(AVERAGE(X16:X16),2)</f>
        <v>0</v>
      </c>
    </row>
    <row r="19" spans="1:24" x14ac:dyDescent="0.15">
      <c r="A19" s="54" t="s">
        <v>64</v>
      </c>
      <c r="B19" s="93"/>
    </row>
    <row r="20" spans="1:24" x14ac:dyDescent="0.15">
      <c r="A20" s="94"/>
      <c r="B20" s="94"/>
      <c r="C20" s="90"/>
      <c r="D20" s="79" t="s">
        <v>24</v>
      </c>
      <c r="E20" s="79"/>
      <c r="F20" s="79"/>
      <c r="G20" s="79"/>
      <c r="H20" s="79"/>
      <c r="I20" s="79" t="s">
        <v>59</v>
      </c>
      <c r="J20" s="79"/>
      <c r="K20" s="79"/>
      <c r="L20" s="79"/>
      <c r="M20" s="79"/>
      <c r="N20" s="79" t="s">
        <v>60</v>
      </c>
      <c r="O20" s="79"/>
      <c r="P20" s="79"/>
      <c r="Q20" s="79"/>
      <c r="R20" s="79"/>
      <c r="S20" s="79" t="s">
        <v>67</v>
      </c>
      <c r="T20" s="79" t="s">
        <v>68</v>
      </c>
      <c r="U20" s="79" t="s">
        <v>27</v>
      </c>
      <c r="V20" s="79" t="s">
        <v>28</v>
      </c>
      <c r="W20" s="95"/>
      <c r="X20" s="96"/>
    </row>
    <row r="21" spans="1:24" x14ac:dyDescent="0.15">
      <c r="A21" s="80" t="s">
        <v>65</v>
      </c>
      <c r="B21" s="81" t="s">
        <v>66</v>
      </c>
      <c r="C21" s="81" t="s">
        <v>23</v>
      </c>
      <c r="D21" s="81" t="s">
        <v>18</v>
      </c>
      <c r="E21" s="81" t="s">
        <v>19</v>
      </c>
      <c r="F21" s="81" t="s">
        <v>20</v>
      </c>
      <c r="G21" s="81" t="s">
        <v>21</v>
      </c>
      <c r="H21" s="81" t="s">
        <v>22</v>
      </c>
      <c r="I21" s="81" t="s">
        <v>18</v>
      </c>
      <c r="J21" s="81" t="s">
        <v>19</v>
      </c>
      <c r="K21" s="81" t="s">
        <v>20</v>
      </c>
      <c r="L21" s="81" t="s">
        <v>21</v>
      </c>
      <c r="M21" s="81" t="s">
        <v>22</v>
      </c>
      <c r="N21" s="81" t="s">
        <v>18</v>
      </c>
      <c r="O21" s="81" t="s">
        <v>19</v>
      </c>
      <c r="P21" s="81" t="s">
        <v>20</v>
      </c>
      <c r="Q21" s="81" t="s">
        <v>21</v>
      </c>
      <c r="R21" s="81" t="s">
        <v>22</v>
      </c>
      <c r="S21" s="95"/>
      <c r="T21" s="95"/>
      <c r="U21" s="95"/>
      <c r="V21" s="95"/>
      <c r="W21" s="95"/>
      <c r="X21" s="96"/>
    </row>
    <row r="22" spans="1:24" x14ac:dyDescent="0.15">
      <c r="A22" s="82">
        <v>1</v>
      </c>
      <c r="B22" s="78" t="str">
        <f>'Module 1'!B1</f>
        <v>Module 1</v>
      </c>
      <c r="C22" s="78" t="str">
        <f>C4</f>
        <v>Chrome</v>
      </c>
      <c r="D22" s="83">
        <f>COUNTIFS('Module 1'!I7:I9999,"Pass",'Module 1'!G7:G9999,"High")</f>
        <v>0</v>
      </c>
      <c r="E22" s="83">
        <f>COUNTIFS('Module 1'!I7:I9999,"Fail",'Module 1'!G7:G9999,"High")</f>
        <v>0</v>
      </c>
      <c r="F22" s="83">
        <f>COUNTIFS('Module 1'!I7:I9999,"Untested",'Module 1'!G7:G9999,"High")</f>
        <v>0</v>
      </c>
      <c r="G22" s="83">
        <f>COUNTIFS('Module 1'!I7:I9999,"Rejected",'Module 1'!G7:G9999,"High")</f>
        <v>0</v>
      </c>
      <c r="H22" s="84">
        <f>'Module 1'!G3</f>
        <v>1</v>
      </c>
      <c r="I22" s="85">
        <f>COUNTIFS('Module 1'!I7:I9999,"Pass",'Module 1'!G7:G9999,"Normal")</f>
        <v>0</v>
      </c>
      <c r="J22" s="85">
        <f>COUNTIFS('Module 1'!I7:I9999,"Fail",'Module 1'!G7:G9999,"Normal")</f>
        <v>0</v>
      </c>
      <c r="K22" s="85">
        <f>COUNTIFS('Module 1'!I7:I9999,"Untested",'Module 1'!G7:G9999,"Normal")</f>
        <v>0</v>
      </c>
      <c r="L22" s="85">
        <f>COUNTIFS('Module 1'!I7:I9999,"Rejected",'Module 1'!G7:G9999,"Normal")</f>
        <v>0</v>
      </c>
      <c r="M22" s="86">
        <f>'Module 1'!H3</f>
        <v>1</v>
      </c>
      <c r="N22" s="87">
        <f>COUNTIFS('Module 1'!I7:I9999,"Pass",'Module 1'!G7:G9999,"Low")</f>
        <v>0</v>
      </c>
      <c r="O22" s="87">
        <f>COUNTIFS('Module 1'!I7:I9999,"Fail",'Module 1'!G7:G9999,"Low")</f>
        <v>0</v>
      </c>
      <c r="P22" s="87">
        <f>COUNTIFS('Module 1'!I7:I9999,"Untested",'Module 1'!G7:G9999,"Low")</f>
        <v>0</v>
      </c>
      <c r="Q22" s="87">
        <f>COUNTIFS('Module 1'!I7:I9999,"Rejected",'Module 1'!G7:G9999,"Low")</f>
        <v>0</v>
      </c>
      <c r="R22" s="88">
        <f>'Module 1'!I3</f>
        <v>1</v>
      </c>
      <c r="S22" s="89">
        <f>'Module 1'!J3</f>
        <v>3</v>
      </c>
      <c r="T22" s="78">
        <f>'Module 1'!D1</f>
        <v>0</v>
      </c>
      <c r="U22" s="78">
        <f>'Module 1'!J8</f>
        <v>0</v>
      </c>
      <c r="V22" s="108"/>
      <c r="W22" s="109"/>
      <c r="X22" s="110"/>
    </row>
    <row r="24" spans="1:24" x14ac:dyDescent="0.15">
      <c r="A24" s="54" t="s">
        <v>69</v>
      </c>
      <c r="B24" s="93"/>
    </row>
    <row r="25" spans="1:24" x14ac:dyDescent="0.15">
      <c r="A25" s="94"/>
      <c r="B25" s="94"/>
      <c r="C25" s="90"/>
      <c r="D25" s="79" t="s">
        <v>24</v>
      </c>
      <c r="E25" s="79"/>
      <c r="F25" s="79"/>
      <c r="G25" s="79"/>
      <c r="H25" s="79"/>
      <c r="I25" s="79" t="s">
        <v>59</v>
      </c>
      <c r="J25" s="79"/>
      <c r="K25" s="79"/>
      <c r="L25" s="79"/>
      <c r="M25" s="79"/>
      <c r="N25" s="79" t="s">
        <v>60</v>
      </c>
      <c r="O25" s="79"/>
      <c r="P25" s="79"/>
      <c r="Q25" s="79"/>
      <c r="R25" s="79"/>
      <c r="S25" s="79" t="s">
        <v>67</v>
      </c>
      <c r="T25" s="79" t="s">
        <v>68</v>
      </c>
      <c r="U25" s="79" t="s">
        <v>27</v>
      </c>
      <c r="V25" s="79" t="s">
        <v>28</v>
      </c>
      <c r="W25" s="95"/>
      <c r="X25" s="96"/>
    </row>
    <row r="26" spans="1:24" x14ac:dyDescent="0.15">
      <c r="A26" s="80" t="s">
        <v>65</v>
      </c>
      <c r="B26" s="81" t="s">
        <v>66</v>
      </c>
      <c r="C26" s="81" t="s">
        <v>23</v>
      </c>
      <c r="D26" s="81" t="s">
        <v>18</v>
      </c>
      <c r="E26" s="81" t="s">
        <v>19</v>
      </c>
      <c r="F26" s="81" t="s">
        <v>20</v>
      </c>
      <c r="G26" s="81" t="s">
        <v>21</v>
      </c>
      <c r="H26" s="81" t="s">
        <v>22</v>
      </c>
      <c r="I26" s="81" t="s">
        <v>18</v>
      </c>
      <c r="J26" s="81" t="s">
        <v>19</v>
      </c>
      <c r="K26" s="81" t="s">
        <v>20</v>
      </c>
      <c r="L26" s="81" t="s">
        <v>21</v>
      </c>
      <c r="M26" s="81" t="s">
        <v>22</v>
      </c>
      <c r="N26" s="81" t="s">
        <v>18</v>
      </c>
      <c r="O26" s="81" t="s">
        <v>19</v>
      </c>
      <c r="P26" s="81" t="s">
        <v>20</v>
      </c>
      <c r="Q26" s="81" t="s">
        <v>21</v>
      </c>
      <c r="R26" s="81" t="s">
        <v>22</v>
      </c>
      <c r="S26" s="95"/>
      <c r="T26" s="95"/>
      <c r="U26" s="95"/>
      <c r="V26" s="95"/>
      <c r="W26" s="95"/>
      <c r="X26" s="96"/>
    </row>
    <row r="27" spans="1:24" x14ac:dyDescent="0.15">
      <c r="A27" s="82">
        <v>1</v>
      </c>
      <c r="B27" s="78" t="str">
        <f>'Module 1'!B1</f>
        <v>Module 1</v>
      </c>
      <c r="C27" s="78" t="str">
        <f>C4</f>
        <v>Chrome</v>
      </c>
      <c r="D27" s="83">
        <f>COUNTIFS('Module 1'!M7:M9999,"Pass",'Module 1'!G7:G9999,"High")</f>
        <v>0</v>
      </c>
      <c r="E27" s="83">
        <f>COUNTIFS('Module 1'!M7:M9999,"Fail",'Module 1'!G7:G9999,"High")</f>
        <v>0</v>
      </c>
      <c r="F27" s="83">
        <f>COUNTIFS('Module 1'!M7:M9999,"Untested",'Module 1'!G7:G9999,"High")</f>
        <v>0</v>
      </c>
      <c r="G27" s="83">
        <f>COUNTIFS('Module 1'!M7:M9999,"Rejected",'Module 1'!G7:G9999,"High")</f>
        <v>0</v>
      </c>
      <c r="H27" s="84">
        <f>'Module 1'!G3</f>
        <v>1</v>
      </c>
      <c r="I27" s="85">
        <f>COUNTIFS('Module 1'!M7:M9999,"Pass",'Module 1'!G7:G9999,"Normal")</f>
        <v>0</v>
      </c>
      <c r="J27" s="85">
        <f>COUNTIFS('Module 1'!M7:M9999,"Fail",'Module 1'!G7:G9999,"Normal")</f>
        <v>0</v>
      </c>
      <c r="K27" s="85">
        <f>COUNTIFS('Module 1'!M7:M9999,"Untested",'Module 1'!G7:G9999,"Normal")</f>
        <v>0</v>
      </c>
      <c r="L27" s="85">
        <f>COUNTIFS('Module 1'!M7:M9999,"Rejected",'Module 1'!G7:G9999,"Normal")</f>
        <v>0</v>
      </c>
      <c r="M27" s="86">
        <f>'Module 1'!H3</f>
        <v>1</v>
      </c>
      <c r="N27" s="87">
        <f>COUNTIFS('Module 1'!M7:M9999,"Pass",'Module 1'!G7:G9999,"Low")</f>
        <v>0</v>
      </c>
      <c r="O27" s="87">
        <f>COUNTIFS('Module 1'!M7:M9999,"Fail",'Module 1'!G7:G9999,"Low")</f>
        <v>0</v>
      </c>
      <c r="P27" s="87">
        <f>COUNTIFS('Module 1'!M7:M9999,"Untested",'Module 1'!G7:G9999,"Low")</f>
        <v>0</v>
      </c>
      <c r="Q27" s="87">
        <f>COUNTIFS('Module 1'!M7:M9999,"Rejected",'Module 1'!G7:G9999,"Low")</f>
        <v>0</v>
      </c>
      <c r="R27" s="88">
        <f>'Module 1'!I3</f>
        <v>1</v>
      </c>
      <c r="S27" s="89">
        <f>'Module 1'!J3</f>
        <v>3</v>
      </c>
      <c r="T27" s="78">
        <f>'Module 1'!D1</f>
        <v>0</v>
      </c>
      <c r="U27" s="78">
        <f>'Module 1'!J8</f>
        <v>0</v>
      </c>
      <c r="V27" s="108"/>
      <c r="W27" s="109"/>
      <c r="X27" s="110"/>
    </row>
  </sheetData>
  <mergeCells count="53">
    <mergeCell ref="U25:U26"/>
    <mergeCell ref="V25:X26"/>
    <mergeCell ref="V22:X22"/>
    <mergeCell ref="V27:X27"/>
    <mergeCell ref="A24:B25"/>
    <mergeCell ref="D25:H25"/>
    <mergeCell ref="I25:M25"/>
    <mergeCell ref="N25:R25"/>
    <mergeCell ref="S25:S26"/>
    <mergeCell ref="T25:T26"/>
    <mergeCell ref="A19:B20"/>
    <mergeCell ref="S20:S21"/>
    <mergeCell ref="T20:T21"/>
    <mergeCell ref="U20:U21"/>
    <mergeCell ref="V20:X21"/>
    <mergeCell ref="D20:H20"/>
    <mergeCell ref="I20:M20"/>
    <mergeCell ref="N20:R20"/>
    <mergeCell ref="U14:U15"/>
    <mergeCell ref="V14:V15"/>
    <mergeCell ref="W14:W15"/>
    <mergeCell ref="X14:X15"/>
    <mergeCell ref="A16:B16"/>
    <mergeCell ref="A17:C17"/>
    <mergeCell ref="A11:C11"/>
    <mergeCell ref="A13:C15"/>
    <mergeCell ref="D13:R13"/>
    <mergeCell ref="S13:U13"/>
    <mergeCell ref="V13:X13"/>
    <mergeCell ref="D14:H14"/>
    <mergeCell ref="I14:M14"/>
    <mergeCell ref="N14:R14"/>
    <mergeCell ref="S14:S15"/>
    <mergeCell ref="T14:T15"/>
    <mergeCell ref="N8:R8"/>
    <mergeCell ref="S7:U7"/>
    <mergeCell ref="S8:S9"/>
    <mergeCell ref="T8:T9"/>
    <mergeCell ref="U8:U9"/>
    <mergeCell ref="V7:X7"/>
    <mergeCell ref="V8:V9"/>
    <mergeCell ref="W8:W9"/>
    <mergeCell ref="X8:X9"/>
    <mergeCell ref="A3:B3"/>
    <mergeCell ref="A4:B4"/>
    <mergeCell ref="D2:J2"/>
    <mergeCell ref="K2:Q2"/>
    <mergeCell ref="A6:B6"/>
    <mergeCell ref="A10:B10"/>
    <mergeCell ref="A7:C9"/>
    <mergeCell ref="D7:R7"/>
    <mergeCell ref="D8:H8"/>
    <mergeCell ref="I8:M8"/>
  </mergeCells>
  <phoneticPr fontId="12"/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mplateAllSheet">
                <anchor moveWithCells="1" sizeWithCells="1">
                  <from>
                    <xdr:col>0</xdr:col>
                    <xdr:colOff>257175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9D4A5-932B-48FC-8F01-335ACA74BC04}">
  <sheetPr codeName="Sheet3"/>
  <dimension ref="A1:CV105"/>
  <sheetViews>
    <sheetView zoomScale="90" zoomScaleNormal="90" zoomScalePageLayoutView="180" workbookViewId="0">
      <selection activeCell="C16" sqref="C16"/>
    </sheetView>
  </sheetViews>
  <sheetFormatPr defaultColWidth="8.875" defaultRowHeight="13.5" x14ac:dyDescent="0.15"/>
  <cols>
    <col min="1" max="1" width="20.75" customWidth="1"/>
    <col min="2" max="2" width="15.125" customWidth="1"/>
    <col min="3" max="3" width="22.125" customWidth="1"/>
    <col min="4" max="4" width="26.125" customWidth="1"/>
    <col min="5" max="5" width="14.625" customWidth="1"/>
    <col min="6" max="6" width="26.625" customWidth="1"/>
    <col min="7" max="7" width="11.375" customWidth="1"/>
    <col min="8" max="8" width="13.375" customWidth="1"/>
    <col min="9" max="9" width="10.875" customWidth="1"/>
    <col min="10" max="10" width="14.125" customWidth="1"/>
    <col min="11" max="11" width="12.75" customWidth="1"/>
    <col min="12" max="12" width="9.625" customWidth="1"/>
    <col min="13" max="13" width="13.75" customWidth="1"/>
    <col min="14" max="14" width="14.75" customWidth="1"/>
    <col min="15" max="15" width="13.375" customWidth="1"/>
    <col min="16" max="18" width="10.875" customWidth="1"/>
    <col min="19" max="19" width="11.125" customWidth="1"/>
    <col min="20" max="20" width="10.375" customWidth="1"/>
    <col min="21" max="21" width="11.625" customWidth="1"/>
    <col min="22" max="22" width="13.375" customWidth="1"/>
    <col min="23" max="23" width="19.375" customWidth="1"/>
  </cols>
  <sheetData>
    <row r="1" spans="1:100" ht="30.75" customHeight="1" x14ac:dyDescent="0.15">
      <c r="A1" s="3" t="s">
        <v>29</v>
      </c>
      <c r="B1" s="30" t="s">
        <v>30</v>
      </c>
      <c r="C1" s="4" t="s">
        <v>31</v>
      </c>
      <c r="D1" s="30"/>
      <c r="E1" s="1"/>
      <c r="F1" s="31" t="s">
        <v>23</v>
      </c>
      <c r="G1" s="51" t="s">
        <v>32</v>
      </c>
      <c r="H1" s="52"/>
      <c r="I1" s="52"/>
      <c r="J1" s="53"/>
      <c r="K1" s="46" t="s">
        <v>17</v>
      </c>
      <c r="L1" s="47"/>
      <c r="M1" s="47"/>
      <c r="N1" s="47"/>
      <c r="O1" s="47"/>
      <c r="P1" s="48"/>
      <c r="Q1" s="46" t="s">
        <v>33</v>
      </c>
      <c r="R1" s="47"/>
      <c r="S1" s="47"/>
      <c r="T1" s="47"/>
      <c r="U1" s="47"/>
      <c r="V1" s="48"/>
      <c r="W1" s="15"/>
      <c r="X1" s="15"/>
      <c r="Y1" s="16"/>
      <c r="Z1" s="16"/>
      <c r="AA1" s="16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  <c r="AO1" s="16"/>
      <c r="AP1" s="16"/>
      <c r="AQ1" s="16"/>
      <c r="AR1" s="16"/>
      <c r="AS1" s="16"/>
      <c r="AT1" s="16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8"/>
    </row>
    <row r="2" spans="1:100" ht="31.5" x14ac:dyDescent="0.15">
      <c r="A2" s="3" t="s">
        <v>34</v>
      </c>
      <c r="B2" s="39" t="str">
        <f>Cover!D3</f>
        <v>Nhập tên dự án</v>
      </c>
      <c r="C2" s="4" t="s">
        <v>35</v>
      </c>
      <c r="D2" s="32"/>
      <c r="E2" s="1"/>
      <c r="F2" s="38"/>
      <c r="G2" s="31" t="s">
        <v>24</v>
      </c>
      <c r="H2" s="31" t="s">
        <v>25</v>
      </c>
      <c r="I2" s="31" t="s">
        <v>26</v>
      </c>
      <c r="J2" s="31" t="s">
        <v>22</v>
      </c>
      <c r="K2" s="31" t="s">
        <v>18</v>
      </c>
      <c r="L2" s="31" t="s">
        <v>19</v>
      </c>
      <c r="M2" s="31" t="s">
        <v>20</v>
      </c>
      <c r="N2" s="31" t="s">
        <v>21</v>
      </c>
      <c r="O2" s="31" t="s">
        <v>36</v>
      </c>
      <c r="P2" s="31" t="s">
        <v>37</v>
      </c>
      <c r="Q2" s="31" t="s">
        <v>18</v>
      </c>
      <c r="R2" s="31" t="s">
        <v>19</v>
      </c>
      <c r="S2" s="31" t="s">
        <v>20</v>
      </c>
      <c r="T2" s="31" t="s">
        <v>21</v>
      </c>
      <c r="U2" s="31" t="s">
        <v>38</v>
      </c>
      <c r="V2" s="31" t="s">
        <v>37</v>
      </c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8"/>
    </row>
    <row r="3" spans="1:100" ht="15.75" x14ac:dyDescent="0.15">
      <c r="A3" s="3" t="s">
        <v>5</v>
      </c>
      <c r="B3" s="39" t="str">
        <f>Cover!D4</f>
        <v xml:space="preserve">Nhâp tên phase </v>
      </c>
      <c r="C3" s="4" t="s">
        <v>39</v>
      </c>
      <c r="D3" s="32"/>
      <c r="E3" s="1"/>
      <c r="F3" s="101" t="str">
        <f>Report!C4</f>
        <v>Chrome</v>
      </c>
      <c r="G3" s="104">
        <f>COUNTIF(G7:G999,"High")</f>
        <v>1</v>
      </c>
      <c r="H3" s="104">
        <f>COUNTIF(G7:G999,"Normal")</f>
        <v>1</v>
      </c>
      <c r="I3" s="104">
        <f>COUNTIF(G7:G999,"Low")</f>
        <v>1</v>
      </c>
      <c r="J3" s="104">
        <f>SUM(G3:I3)</f>
        <v>3</v>
      </c>
      <c r="K3" s="102">
        <f>COUNTIF(I7:I1007,"Pass")</f>
        <v>0</v>
      </c>
      <c r="L3" s="102">
        <f>COUNTIF(I7:I1007,"Fail")</f>
        <v>0</v>
      </c>
      <c r="M3" s="102">
        <f>J3-K3-L3-N3</f>
        <v>3</v>
      </c>
      <c r="N3" s="102">
        <f>COUNTIF(I7:I1007,"Rejected")</f>
        <v>0</v>
      </c>
      <c r="O3" s="103">
        <f>(K3+L3)/(J3-N3)</f>
        <v>0</v>
      </c>
      <c r="P3" s="103">
        <f>K3/(J3-N3)</f>
        <v>0</v>
      </c>
      <c r="Q3" s="102">
        <f>COUNTIF(M7:M1006,"Pass")</f>
        <v>0</v>
      </c>
      <c r="R3" s="102">
        <f>COUNTIF(M7:M1006,"Fail")</f>
        <v>0</v>
      </c>
      <c r="S3" s="102">
        <f>J3-Q3-R3-T3</f>
        <v>3</v>
      </c>
      <c r="T3" s="102">
        <f>COUNTIF(M7:M1006,"Rejected")</f>
        <v>0</v>
      </c>
      <c r="U3" s="103">
        <f>(Q3+R3)/(J3-T3)</f>
        <v>0</v>
      </c>
      <c r="V3" s="103">
        <f>Q3/(J3-T3)</f>
        <v>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8"/>
    </row>
    <row r="4" spans="1:100" ht="15.75" x14ac:dyDescent="0.15">
      <c r="A4" s="1"/>
      <c r="B4" s="1"/>
      <c r="C4" s="2"/>
      <c r="D4" s="1"/>
      <c r="E4" s="1"/>
      <c r="F4" s="2"/>
      <c r="G4" s="2"/>
      <c r="H4" s="1"/>
      <c r="I4" s="20"/>
      <c r="J4" s="20"/>
      <c r="K4" s="20"/>
      <c r="L4" s="20"/>
      <c r="M4" s="20"/>
      <c r="N4" s="20"/>
      <c r="O4" s="1"/>
      <c r="P4" s="20"/>
      <c r="Q4" s="20"/>
      <c r="R4" s="20"/>
      <c r="S4" s="20"/>
      <c r="T4" s="20"/>
      <c r="U4" s="20"/>
      <c r="V4" s="1"/>
      <c r="W4" s="18"/>
    </row>
    <row r="5" spans="1:100" ht="15.75" customHeight="1" x14ac:dyDescent="0.15">
      <c r="A5" s="49" t="s">
        <v>40</v>
      </c>
      <c r="B5" s="49" t="s">
        <v>41</v>
      </c>
      <c r="C5" s="49" t="s">
        <v>51</v>
      </c>
      <c r="D5" s="49" t="s">
        <v>42</v>
      </c>
      <c r="E5" s="49" t="s">
        <v>43</v>
      </c>
      <c r="F5" s="49" t="s">
        <v>44</v>
      </c>
      <c r="G5" s="51" t="s">
        <v>45</v>
      </c>
      <c r="H5" s="97" t="s">
        <v>70</v>
      </c>
      <c r="I5" s="98"/>
      <c r="J5" s="98"/>
      <c r="K5" s="98"/>
      <c r="L5" s="98" t="s">
        <v>72</v>
      </c>
      <c r="M5" s="98"/>
      <c r="N5" s="98"/>
      <c r="O5" s="98"/>
      <c r="P5" s="98" t="s">
        <v>28</v>
      </c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  <c r="BA5" s="100"/>
      <c r="BB5" s="100"/>
      <c r="BC5" s="100"/>
      <c r="BD5" s="100"/>
      <c r="BE5" s="100"/>
      <c r="BF5" s="100"/>
      <c r="BG5" s="100"/>
      <c r="BH5" s="100"/>
      <c r="BI5" s="100"/>
      <c r="BJ5" s="100"/>
      <c r="BK5" s="100"/>
      <c r="BL5" s="100"/>
      <c r="BM5" s="100"/>
      <c r="BN5" s="100"/>
      <c r="BO5" s="100"/>
      <c r="BP5" s="100"/>
      <c r="BQ5" s="100"/>
      <c r="BR5" s="100"/>
      <c r="BS5" s="100"/>
      <c r="BT5" s="100"/>
      <c r="BU5" s="100"/>
      <c r="BV5" s="100"/>
      <c r="BW5" s="100"/>
      <c r="BX5" s="100"/>
      <c r="BY5" s="100"/>
      <c r="BZ5" s="100"/>
      <c r="CA5" s="100"/>
      <c r="CB5" s="100"/>
      <c r="CC5" s="100"/>
      <c r="CD5" s="100"/>
      <c r="CE5" s="100"/>
      <c r="CF5" s="100"/>
      <c r="CG5" s="100"/>
      <c r="CH5" s="100"/>
      <c r="CI5" s="100"/>
      <c r="CJ5" s="100"/>
      <c r="CK5" s="100"/>
      <c r="CL5" s="100"/>
      <c r="CM5" s="100"/>
      <c r="CN5" s="100"/>
      <c r="CO5" s="100"/>
      <c r="CP5" s="100"/>
      <c r="CQ5" s="100"/>
      <c r="CR5" s="100"/>
      <c r="CS5" s="100"/>
      <c r="CT5" s="100"/>
      <c r="CU5" s="100"/>
      <c r="CV5" s="100"/>
    </row>
    <row r="6" spans="1:100" ht="15.75" x14ac:dyDescent="0.15">
      <c r="A6" s="50"/>
      <c r="B6" s="50"/>
      <c r="C6" s="50"/>
      <c r="D6" s="50"/>
      <c r="E6" s="50"/>
      <c r="F6" s="50"/>
      <c r="G6" s="51"/>
      <c r="H6" s="40" t="s">
        <v>71</v>
      </c>
      <c r="I6" s="40" t="str">
        <f>Report!C4</f>
        <v>Chrome</v>
      </c>
      <c r="J6" s="40" t="s">
        <v>27</v>
      </c>
      <c r="K6" s="40" t="s">
        <v>46</v>
      </c>
      <c r="L6" s="40" t="s">
        <v>71</v>
      </c>
      <c r="M6" s="40" t="str">
        <f>Report!C4</f>
        <v>Chrome</v>
      </c>
      <c r="N6" s="40" t="s">
        <v>27</v>
      </c>
      <c r="O6" s="40" t="s">
        <v>46</v>
      </c>
      <c r="P6" s="98"/>
      <c r="Q6" s="99"/>
      <c r="R6" s="99"/>
      <c r="S6" s="99"/>
      <c r="T6" s="99"/>
      <c r="U6" s="99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99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  <c r="BA6" s="100"/>
      <c r="BB6" s="100"/>
      <c r="BC6" s="100"/>
      <c r="BD6" s="100"/>
      <c r="BE6" s="100"/>
      <c r="BF6" s="100"/>
      <c r="BG6" s="100"/>
      <c r="BH6" s="100"/>
      <c r="BI6" s="100"/>
      <c r="BJ6" s="100"/>
      <c r="BK6" s="100"/>
      <c r="BL6" s="100"/>
      <c r="BM6" s="100"/>
      <c r="BN6" s="100"/>
      <c r="BO6" s="100"/>
      <c r="BP6" s="100"/>
      <c r="BQ6" s="100"/>
      <c r="BR6" s="100"/>
      <c r="BS6" s="100"/>
      <c r="BT6" s="100"/>
      <c r="BU6" s="100"/>
      <c r="BV6" s="100"/>
      <c r="BW6" s="100"/>
      <c r="BX6" s="100"/>
      <c r="BY6" s="100"/>
      <c r="BZ6" s="100"/>
      <c r="CA6" s="100"/>
      <c r="CB6" s="100"/>
      <c r="CC6" s="100"/>
      <c r="CD6" s="100"/>
      <c r="CE6" s="100"/>
      <c r="CF6" s="100"/>
      <c r="CG6" s="100"/>
      <c r="CH6" s="100"/>
      <c r="CI6" s="100"/>
      <c r="CJ6" s="100"/>
      <c r="CK6" s="100"/>
      <c r="CL6" s="100"/>
      <c r="CM6" s="100"/>
      <c r="CN6" s="100"/>
      <c r="CO6" s="100"/>
      <c r="CP6" s="100"/>
      <c r="CQ6" s="100"/>
      <c r="CR6" s="100"/>
      <c r="CS6" s="100"/>
      <c r="CT6" s="100"/>
      <c r="CU6" s="100"/>
      <c r="CV6" s="100"/>
    </row>
    <row r="7" spans="1:100" ht="189" x14ac:dyDescent="0.15">
      <c r="A7" s="33" t="str">
        <f>IF(G7&lt;&gt;"",""&amp;TEXT($B$1,"##")&amp;"-"&amp; (ROW()-5)-COUNTBLANK(G$5:G7),"")</f>
        <v>Module 1-1</v>
      </c>
      <c r="B7" s="33" t="s">
        <v>47</v>
      </c>
      <c r="C7" s="33" t="s">
        <v>48</v>
      </c>
      <c r="D7" s="33" t="s">
        <v>49</v>
      </c>
      <c r="E7" s="34"/>
      <c r="F7" s="34" t="s">
        <v>50</v>
      </c>
      <c r="G7" s="35" t="s">
        <v>24</v>
      </c>
      <c r="H7" s="105"/>
      <c r="I7" s="105"/>
      <c r="J7" s="105"/>
      <c r="K7" s="106"/>
      <c r="L7" s="105"/>
      <c r="M7" s="105"/>
      <c r="N7" s="105"/>
      <c r="O7" s="105"/>
      <c r="P7" s="105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</row>
    <row r="8" spans="1:100" ht="15.75" x14ac:dyDescent="0.15">
      <c r="A8" s="33" t="str">
        <f>IF(G8&lt;&gt;"",""&amp;TEXT($B$1,"##")&amp;"-"&amp; (ROW()-5)-COUNTBLANK(G$5:G8),"")</f>
        <v>Module 1-2</v>
      </c>
      <c r="B8" s="33"/>
      <c r="C8" s="33"/>
      <c r="D8" s="33"/>
      <c r="E8" s="34"/>
      <c r="F8" s="34"/>
      <c r="G8" s="35" t="s">
        <v>25</v>
      </c>
      <c r="H8" s="105"/>
      <c r="I8" s="105"/>
      <c r="J8" s="105"/>
      <c r="K8" s="106"/>
      <c r="L8" s="105"/>
      <c r="M8" s="105"/>
      <c r="N8" s="105"/>
      <c r="O8" s="105"/>
      <c r="P8" s="105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  <c r="BA8" s="100"/>
      <c r="BB8" s="100"/>
      <c r="BC8" s="100"/>
      <c r="BD8" s="100"/>
      <c r="BE8" s="100"/>
      <c r="BF8" s="100"/>
      <c r="BG8" s="100"/>
      <c r="BH8" s="100"/>
      <c r="BI8" s="100"/>
      <c r="BJ8" s="100"/>
      <c r="BK8" s="100"/>
      <c r="BL8" s="100"/>
      <c r="BM8" s="100"/>
      <c r="BN8" s="100"/>
      <c r="BO8" s="100"/>
      <c r="BP8" s="100"/>
      <c r="BQ8" s="100"/>
      <c r="BR8" s="100"/>
      <c r="BS8" s="100"/>
      <c r="BT8" s="100"/>
      <c r="BU8" s="100"/>
      <c r="BV8" s="100"/>
      <c r="BW8" s="100"/>
      <c r="BX8" s="100"/>
      <c r="BY8" s="100"/>
      <c r="BZ8" s="100"/>
      <c r="CA8" s="100"/>
      <c r="CB8" s="100"/>
      <c r="CC8" s="100"/>
      <c r="CD8" s="100"/>
      <c r="CE8" s="100"/>
      <c r="CF8" s="100"/>
      <c r="CG8" s="100"/>
      <c r="CH8" s="100"/>
      <c r="CI8" s="100"/>
      <c r="CJ8" s="100"/>
      <c r="CK8" s="100"/>
      <c r="CL8" s="100"/>
      <c r="CM8" s="100"/>
      <c r="CN8" s="100"/>
      <c r="CO8" s="100"/>
      <c r="CP8" s="100"/>
      <c r="CQ8" s="100"/>
      <c r="CR8" s="100"/>
      <c r="CS8" s="100"/>
      <c r="CT8" s="100"/>
      <c r="CU8" s="100"/>
      <c r="CV8" s="100"/>
    </row>
    <row r="9" spans="1:100" ht="15.75" x14ac:dyDescent="0.15">
      <c r="A9" s="33" t="str">
        <f>IF(G9&lt;&gt;"",""&amp;TEXT($B$1,"##")&amp;"-"&amp; (ROW()-5)-COUNTBLANK(G$5:G9),"")</f>
        <v>Module 1-3</v>
      </c>
      <c r="B9" s="33"/>
      <c r="C9" s="33"/>
      <c r="D9" s="33"/>
      <c r="E9" s="34"/>
      <c r="F9" s="34"/>
      <c r="G9" s="35" t="s">
        <v>26</v>
      </c>
      <c r="H9" s="105"/>
      <c r="I9" s="105"/>
      <c r="J9" s="105"/>
      <c r="K9" s="106"/>
      <c r="L9" s="105"/>
      <c r="M9" s="105"/>
      <c r="N9" s="105"/>
      <c r="O9" s="105"/>
      <c r="P9" s="105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  <c r="BA9" s="100"/>
      <c r="BB9" s="100"/>
      <c r="BC9" s="100"/>
      <c r="BD9" s="100"/>
      <c r="BE9" s="100"/>
      <c r="BF9" s="100"/>
      <c r="BG9" s="100"/>
      <c r="BH9" s="100"/>
      <c r="BI9" s="100"/>
      <c r="BJ9" s="100"/>
      <c r="BK9" s="100"/>
      <c r="BL9" s="100"/>
      <c r="BM9" s="100"/>
      <c r="BN9" s="100"/>
      <c r="BO9" s="100"/>
      <c r="BP9" s="100"/>
      <c r="BQ9" s="100"/>
      <c r="BR9" s="100"/>
      <c r="BS9" s="100"/>
      <c r="BT9" s="100"/>
      <c r="BU9" s="100"/>
      <c r="BV9" s="100"/>
      <c r="BW9" s="100"/>
      <c r="BX9" s="100"/>
      <c r="BY9" s="100"/>
      <c r="BZ9" s="100"/>
      <c r="CA9" s="100"/>
      <c r="CB9" s="100"/>
      <c r="CC9" s="100"/>
      <c r="CD9" s="100"/>
      <c r="CE9" s="100"/>
      <c r="CF9" s="100"/>
      <c r="CG9" s="100"/>
      <c r="CH9" s="100"/>
      <c r="CI9" s="100"/>
      <c r="CJ9" s="100"/>
      <c r="CK9" s="100"/>
      <c r="CL9" s="100"/>
      <c r="CM9" s="100"/>
      <c r="CN9" s="100"/>
      <c r="CO9" s="100"/>
      <c r="CP9" s="100"/>
      <c r="CQ9" s="100"/>
      <c r="CR9" s="100"/>
      <c r="CS9" s="100"/>
      <c r="CT9" s="100"/>
      <c r="CU9" s="100"/>
      <c r="CV9" s="100"/>
    </row>
    <row r="10" spans="1:100" ht="15.75" x14ac:dyDescent="0.15">
      <c r="A10" s="33" t="str">
        <f>IF(G10&lt;&gt;"",""&amp;TEXT($B$1,"##")&amp;"-"&amp; (ROW()-5)-COUNTBLANK(G$5:G10),"")</f>
        <v/>
      </c>
      <c r="B10" s="33"/>
      <c r="C10" s="33"/>
      <c r="E10" s="34"/>
      <c r="F10" s="34"/>
      <c r="G10" s="35"/>
      <c r="H10" s="105"/>
      <c r="I10" s="105"/>
      <c r="J10" s="105"/>
      <c r="K10" s="106"/>
      <c r="L10" s="105"/>
      <c r="M10" s="105"/>
      <c r="N10" s="105"/>
      <c r="O10" s="105"/>
      <c r="P10" s="105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  <c r="BA10" s="100"/>
      <c r="BB10" s="100"/>
      <c r="BC10" s="100"/>
      <c r="BD10" s="100"/>
      <c r="BE10" s="100"/>
      <c r="BF10" s="100"/>
      <c r="BG10" s="100"/>
      <c r="BH10" s="100"/>
      <c r="BI10" s="100"/>
      <c r="BJ10" s="100"/>
      <c r="BK10" s="100"/>
      <c r="BL10" s="100"/>
      <c r="BM10" s="100"/>
      <c r="BN10" s="100"/>
      <c r="BO10" s="100"/>
      <c r="BP10" s="100"/>
      <c r="BQ10" s="100"/>
      <c r="BR10" s="100"/>
      <c r="BS10" s="100"/>
      <c r="BT10" s="100"/>
      <c r="BU10" s="100"/>
      <c r="BV10" s="100"/>
      <c r="BW10" s="100"/>
      <c r="BX10" s="100"/>
      <c r="BY10" s="100"/>
      <c r="BZ10" s="100"/>
      <c r="CA10" s="100"/>
      <c r="CB10" s="100"/>
      <c r="CC10" s="100"/>
      <c r="CD10" s="100"/>
      <c r="CE10" s="100"/>
      <c r="CF10" s="100"/>
      <c r="CG10" s="100"/>
      <c r="CH10" s="100"/>
      <c r="CI10" s="100"/>
      <c r="CJ10" s="100"/>
      <c r="CK10" s="100"/>
      <c r="CL10" s="100"/>
      <c r="CM10" s="100"/>
      <c r="CN10" s="100"/>
      <c r="CO10" s="100"/>
      <c r="CP10" s="100"/>
      <c r="CQ10" s="100"/>
      <c r="CR10" s="100"/>
      <c r="CS10" s="100"/>
      <c r="CT10" s="100"/>
      <c r="CU10" s="100"/>
      <c r="CV10" s="100"/>
    </row>
    <row r="11" spans="1:100" ht="15.75" x14ac:dyDescent="0.15">
      <c r="A11" s="33" t="str">
        <f>IF(G11&lt;&gt;"",""&amp;TEXT($B$1,"##")&amp;"-"&amp; (ROW()-5)-COUNTBLANK(G$5:G11),"")</f>
        <v/>
      </c>
      <c r="B11" s="33"/>
      <c r="C11" s="33"/>
      <c r="D11" s="33"/>
      <c r="E11" s="34"/>
      <c r="F11" s="34"/>
      <c r="G11" s="35"/>
      <c r="H11" s="105"/>
      <c r="I11" s="105"/>
      <c r="J11" s="105"/>
      <c r="K11" s="106"/>
      <c r="L11" s="105"/>
      <c r="M11" s="105"/>
      <c r="N11" s="105"/>
      <c r="O11" s="105"/>
      <c r="P11" s="105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  <c r="BA11" s="100"/>
      <c r="BB11" s="100"/>
      <c r="BC11" s="100"/>
      <c r="BD11" s="100"/>
      <c r="BE11" s="100"/>
      <c r="BF11" s="100"/>
      <c r="BG11" s="100"/>
      <c r="BH11" s="100"/>
      <c r="BI11" s="100"/>
      <c r="BJ11" s="100"/>
      <c r="BK11" s="100"/>
      <c r="BL11" s="100"/>
      <c r="BM11" s="100"/>
      <c r="BN11" s="100"/>
      <c r="BO11" s="100"/>
      <c r="BP11" s="100"/>
      <c r="BQ11" s="100"/>
      <c r="BR11" s="100"/>
      <c r="BS11" s="100"/>
      <c r="BT11" s="100"/>
      <c r="BU11" s="100"/>
      <c r="BV11" s="100"/>
      <c r="BW11" s="100"/>
      <c r="BX11" s="100"/>
      <c r="BY11" s="100"/>
      <c r="BZ11" s="100"/>
      <c r="CA11" s="100"/>
      <c r="CB11" s="100"/>
      <c r="CC11" s="100"/>
      <c r="CD11" s="100"/>
      <c r="CE11" s="100"/>
      <c r="CF11" s="100"/>
      <c r="CG11" s="100"/>
      <c r="CH11" s="100"/>
      <c r="CI11" s="100"/>
      <c r="CJ11" s="100"/>
      <c r="CK11" s="100"/>
      <c r="CL11" s="100"/>
      <c r="CM11" s="100"/>
      <c r="CN11" s="100"/>
      <c r="CO11" s="100"/>
      <c r="CP11" s="100"/>
      <c r="CQ11" s="100"/>
      <c r="CR11" s="100"/>
      <c r="CS11" s="100"/>
      <c r="CT11" s="100"/>
      <c r="CU11" s="100"/>
      <c r="CV11" s="100"/>
    </row>
    <row r="12" spans="1:100" ht="15.75" x14ac:dyDescent="0.15">
      <c r="A12" s="33" t="str">
        <f>IF(G12&lt;&gt;"",""&amp;TEXT($B$1,"##")&amp;"-"&amp; (ROW()-5)-COUNTBLANK(G$5:G12),"")</f>
        <v/>
      </c>
      <c r="B12" s="33"/>
      <c r="C12" s="33"/>
      <c r="D12" s="33"/>
      <c r="E12" s="34"/>
      <c r="F12" s="34"/>
      <c r="G12" s="35"/>
      <c r="H12" s="105"/>
      <c r="I12" s="105"/>
      <c r="J12" s="105"/>
      <c r="K12" s="106"/>
      <c r="L12" s="105"/>
      <c r="M12" s="105"/>
      <c r="N12" s="105"/>
      <c r="O12" s="105"/>
      <c r="P12" s="105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  <c r="AV12" s="100"/>
      <c r="AW12" s="100"/>
      <c r="AX12" s="100"/>
      <c r="AY12" s="100"/>
      <c r="AZ12" s="100"/>
      <c r="BA12" s="100"/>
      <c r="BB12" s="100"/>
      <c r="BC12" s="100"/>
      <c r="BD12" s="100"/>
      <c r="BE12" s="100"/>
      <c r="BF12" s="100"/>
      <c r="BG12" s="100"/>
      <c r="BH12" s="100"/>
      <c r="BI12" s="100"/>
      <c r="BJ12" s="100"/>
      <c r="BK12" s="100"/>
      <c r="BL12" s="100"/>
      <c r="BM12" s="100"/>
      <c r="BN12" s="100"/>
      <c r="BO12" s="100"/>
      <c r="BP12" s="100"/>
      <c r="BQ12" s="100"/>
      <c r="BR12" s="100"/>
      <c r="BS12" s="100"/>
      <c r="BT12" s="100"/>
      <c r="BU12" s="100"/>
      <c r="BV12" s="100"/>
      <c r="BW12" s="100"/>
      <c r="BX12" s="100"/>
      <c r="BY12" s="100"/>
      <c r="BZ12" s="100"/>
      <c r="CA12" s="100"/>
      <c r="CB12" s="100"/>
      <c r="CC12" s="100"/>
      <c r="CD12" s="100"/>
      <c r="CE12" s="100"/>
      <c r="CF12" s="100"/>
      <c r="CG12" s="100"/>
      <c r="CH12" s="100"/>
      <c r="CI12" s="100"/>
      <c r="CJ12" s="100"/>
      <c r="CK12" s="100"/>
      <c r="CL12" s="100"/>
      <c r="CM12" s="100"/>
      <c r="CN12" s="100"/>
      <c r="CO12" s="100"/>
      <c r="CP12" s="100"/>
      <c r="CQ12" s="100"/>
      <c r="CR12" s="100"/>
      <c r="CS12" s="100"/>
      <c r="CT12" s="100"/>
      <c r="CU12" s="100"/>
      <c r="CV12" s="100"/>
    </row>
    <row r="13" spans="1:100" ht="15.75" x14ac:dyDescent="0.15">
      <c r="A13" s="33" t="str">
        <f>IF(G13&lt;&gt;"",""&amp;TEXT($B$1,"##")&amp;"-"&amp; (ROW()-5)-COUNTBLANK(G$5:G13),"")</f>
        <v/>
      </c>
      <c r="B13" s="33"/>
      <c r="C13" s="33"/>
      <c r="D13" s="33"/>
      <c r="E13" s="34"/>
      <c r="F13" s="34"/>
      <c r="G13" s="35"/>
      <c r="H13" s="105"/>
      <c r="I13" s="105"/>
      <c r="J13" s="105"/>
      <c r="K13" s="106"/>
      <c r="L13" s="105"/>
      <c r="M13" s="105"/>
      <c r="N13" s="105"/>
      <c r="O13" s="105"/>
      <c r="P13" s="105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100"/>
      <c r="AY13" s="100"/>
      <c r="AZ13" s="100"/>
      <c r="BA13" s="100"/>
      <c r="BB13" s="100"/>
      <c r="BC13" s="100"/>
      <c r="BD13" s="100"/>
      <c r="BE13" s="100"/>
      <c r="BF13" s="100"/>
      <c r="BG13" s="100"/>
      <c r="BH13" s="100"/>
      <c r="BI13" s="100"/>
      <c r="BJ13" s="100"/>
      <c r="BK13" s="100"/>
      <c r="BL13" s="100"/>
      <c r="BM13" s="100"/>
      <c r="BN13" s="100"/>
      <c r="BO13" s="100"/>
      <c r="BP13" s="100"/>
      <c r="BQ13" s="100"/>
      <c r="BR13" s="100"/>
      <c r="BS13" s="100"/>
      <c r="BT13" s="100"/>
      <c r="BU13" s="100"/>
      <c r="BV13" s="100"/>
      <c r="BW13" s="100"/>
      <c r="BX13" s="100"/>
      <c r="BY13" s="100"/>
      <c r="BZ13" s="100"/>
      <c r="CA13" s="100"/>
      <c r="CB13" s="100"/>
      <c r="CC13" s="100"/>
      <c r="CD13" s="100"/>
      <c r="CE13" s="100"/>
      <c r="CF13" s="100"/>
      <c r="CG13" s="100"/>
      <c r="CH13" s="100"/>
      <c r="CI13" s="100"/>
      <c r="CJ13" s="100"/>
      <c r="CK13" s="100"/>
      <c r="CL13" s="100"/>
      <c r="CM13" s="100"/>
      <c r="CN13" s="100"/>
      <c r="CO13" s="100"/>
      <c r="CP13" s="100"/>
      <c r="CQ13" s="100"/>
      <c r="CR13" s="100"/>
      <c r="CS13" s="100"/>
      <c r="CT13" s="100"/>
      <c r="CU13" s="100"/>
      <c r="CV13" s="100"/>
    </row>
    <row r="14" spans="1:100" ht="15.75" x14ac:dyDescent="0.15">
      <c r="A14" s="33"/>
      <c r="B14" s="33"/>
      <c r="C14" s="33"/>
      <c r="D14" s="33"/>
      <c r="E14" s="34"/>
      <c r="F14" s="34"/>
      <c r="G14" s="35"/>
      <c r="H14" s="105"/>
      <c r="I14" s="105"/>
      <c r="J14" s="105"/>
      <c r="K14" s="106"/>
      <c r="L14" s="105"/>
      <c r="M14" s="105"/>
      <c r="N14" s="105"/>
      <c r="O14" s="105"/>
      <c r="P14" s="105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100"/>
      <c r="AY14" s="100"/>
      <c r="AZ14" s="100"/>
      <c r="BA14" s="100"/>
      <c r="BB14" s="100"/>
      <c r="BC14" s="100"/>
      <c r="BD14" s="100"/>
      <c r="BE14" s="100"/>
      <c r="BF14" s="100"/>
      <c r="BG14" s="100"/>
      <c r="BH14" s="100"/>
      <c r="BI14" s="100"/>
      <c r="BJ14" s="100"/>
      <c r="BK14" s="100"/>
      <c r="BL14" s="100"/>
      <c r="BM14" s="100"/>
      <c r="BN14" s="100"/>
      <c r="BO14" s="100"/>
      <c r="BP14" s="100"/>
      <c r="BQ14" s="100"/>
      <c r="BR14" s="100"/>
      <c r="BS14" s="100"/>
      <c r="BT14" s="100"/>
      <c r="BU14" s="100"/>
      <c r="BV14" s="100"/>
      <c r="BW14" s="100"/>
      <c r="BX14" s="100"/>
      <c r="BY14" s="100"/>
      <c r="BZ14" s="100"/>
      <c r="CA14" s="100"/>
      <c r="CB14" s="100"/>
      <c r="CC14" s="100"/>
      <c r="CD14" s="100"/>
      <c r="CE14" s="100"/>
      <c r="CF14" s="100"/>
      <c r="CG14" s="100"/>
      <c r="CH14" s="100"/>
      <c r="CI14" s="100"/>
      <c r="CJ14" s="100"/>
      <c r="CK14" s="100"/>
      <c r="CL14" s="100"/>
      <c r="CM14" s="100"/>
      <c r="CN14" s="100"/>
      <c r="CO14" s="100"/>
      <c r="CP14" s="100"/>
      <c r="CQ14" s="100"/>
      <c r="CR14" s="100"/>
      <c r="CS14" s="100"/>
      <c r="CT14" s="100"/>
      <c r="CU14" s="100"/>
      <c r="CV14" s="100"/>
    </row>
    <row r="15" spans="1:100" ht="15.75" x14ac:dyDescent="0.15">
      <c r="A15" s="33"/>
      <c r="B15" s="33"/>
      <c r="C15" s="33"/>
      <c r="D15" s="33"/>
      <c r="E15" s="34"/>
      <c r="F15" s="34"/>
      <c r="G15" s="35"/>
      <c r="H15" s="105"/>
      <c r="I15" s="105"/>
      <c r="J15" s="105"/>
      <c r="K15" s="106"/>
      <c r="L15" s="105"/>
      <c r="M15" s="105"/>
      <c r="N15" s="105"/>
      <c r="O15" s="105"/>
      <c r="P15" s="105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100"/>
      <c r="BD15" s="100"/>
      <c r="BE15" s="100"/>
      <c r="BF15" s="100"/>
      <c r="BG15" s="100"/>
      <c r="BH15" s="100"/>
      <c r="BI15" s="100"/>
      <c r="BJ15" s="100"/>
      <c r="BK15" s="100"/>
      <c r="BL15" s="100"/>
      <c r="BM15" s="100"/>
      <c r="BN15" s="100"/>
      <c r="BO15" s="100"/>
      <c r="BP15" s="100"/>
      <c r="BQ15" s="100"/>
      <c r="BR15" s="100"/>
      <c r="BS15" s="100"/>
      <c r="BT15" s="100"/>
      <c r="BU15" s="100"/>
      <c r="BV15" s="100"/>
      <c r="BW15" s="100"/>
      <c r="BX15" s="100"/>
      <c r="BY15" s="100"/>
      <c r="BZ15" s="100"/>
      <c r="CA15" s="100"/>
      <c r="CB15" s="100"/>
      <c r="CC15" s="100"/>
      <c r="CD15" s="100"/>
      <c r="CE15" s="100"/>
      <c r="CF15" s="100"/>
      <c r="CG15" s="100"/>
      <c r="CH15" s="100"/>
      <c r="CI15" s="100"/>
      <c r="CJ15" s="100"/>
      <c r="CK15" s="100"/>
      <c r="CL15" s="100"/>
      <c r="CM15" s="100"/>
      <c r="CN15" s="100"/>
      <c r="CO15" s="100"/>
      <c r="CP15" s="100"/>
      <c r="CQ15" s="100"/>
      <c r="CR15" s="100"/>
      <c r="CS15" s="100"/>
      <c r="CT15" s="100"/>
      <c r="CU15" s="100"/>
      <c r="CV15" s="100"/>
    </row>
    <row r="16" spans="1:100" ht="15.75" x14ac:dyDescent="0.15">
      <c r="A16" s="33"/>
      <c r="B16" s="33"/>
      <c r="C16" s="33"/>
      <c r="D16" s="33"/>
      <c r="E16" s="34"/>
      <c r="F16" s="34"/>
      <c r="G16" s="35"/>
      <c r="H16" s="105"/>
      <c r="I16" s="105"/>
      <c r="J16" s="105"/>
      <c r="K16" s="106"/>
      <c r="L16" s="105"/>
      <c r="M16" s="105"/>
      <c r="N16" s="105"/>
      <c r="O16" s="105"/>
      <c r="P16" s="105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100"/>
      <c r="BD16" s="100"/>
      <c r="BE16" s="100"/>
      <c r="BF16" s="100"/>
      <c r="BG16" s="100"/>
      <c r="BH16" s="100"/>
      <c r="BI16" s="100"/>
      <c r="BJ16" s="100"/>
      <c r="BK16" s="100"/>
      <c r="BL16" s="100"/>
      <c r="BM16" s="100"/>
      <c r="BN16" s="100"/>
      <c r="BO16" s="100"/>
      <c r="BP16" s="100"/>
      <c r="BQ16" s="100"/>
      <c r="BR16" s="100"/>
      <c r="BS16" s="100"/>
      <c r="BT16" s="100"/>
      <c r="BU16" s="100"/>
      <c r="BV16" s="100"/>
      <c r="BW16" s="100"/>
      <c r="BX16" s="100"/>
      <c r="BY16" s="100"/>
      <c r="BZ16" s="100"/>
      <c r="CA16" s="100"/>
      <c r="CB16" s="100"/>
      <c r="CC16" s="100"/>
      <c r="CD16" s="100"/>
      <c r="CE16" s="100"/>
      <c r="CF16" s="100"/>
      <c r="CG16" s="100"/>
      <c r="CH16" s="100"/>
      <c r="CI16" s="100"/>
      <c r="CJ16" s="100"/>
      <c r="CK16" s="100"/>
      <c r="CL16" s="100"/>
      <c r="CM16" s="100"/>
      <c r="CN16" s="100"/>
      <c r="CO16" s="100"/>
      <c r="CP16" s="100"/>
      <c r="CQ16" s="100"/>
      <c r="CR16" s="100"/>
      <c r="CS16" s="100"/>
      <c r="CT16" s="100"/>
      <c r="CU16" s="100"/>
      <c r="CV16" s="100"/>
    </row>
    <row r="17" spans="1:100" ht="15.75" x14ac:dyDescent="0.15">
      <c r="A17" s="33"/>
      <c r="B17" s="36"/>
      <c r="C17" s="36"/>
      <c r="D17" s="37"/>
      <c r="E17" s="37"/>
      <c r="F17" s="36"/>
      <c r="G17" s="35"/>
      <c r="H17" s="105"/>
      <c r="I17" s="105"/>
      <c r="J17" s="105"/>
      <c r="K17" s="106"/>
      <c r="L17" s="105"/>
      <c r="M17" s="105"/>
      <c r="N17" s="105"/>
      <c r="O17" s="105"/>
      <c r="P17" s="105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100"/>
      <c r="BD17" s="100"/>
      <c r="BE17" s="100"/>
      <c r="BF17" s="100"/>
      <c r="BG17" s="100"/>
      <c r="BH17" s="100"/>
      <c r="BI17" s="100"/>
      <c r="BJ17" s="100"/>
      <c r="BK17" s="100"/>
      <c r="BL17" s="100"/>
      <c r="BM17" s="100"/>
      <c r="BN17" s="100"/>
      <c r="BO17" s="100"/>
      <c r="BP17" s="100"/>
      <c r="BQ17" s="100"/>
      <c r="BR17" s="100"/>
      <c r="BS17" s="100"/>
      <c r="BT17" s="100"/>
      <c r="BU17" s="100"/>
      <c r="BV17" s="100"/>
      <c r="BW17" s="100"/>
      <c r="BX17" s="100"/>
      <c r="BY17" s="100"/>
      <c r="BZ17" s="100"/>
      <c r="CA17" s="100"/>
      <c r="CB17" s="100"/>
      <c r="CC17" s="100"/>
      <c r="CD17" s="100"/>
      <c r="CE17" s="100"/>
      <c r="CF17" s="100"/>
      <c r="CG17" s="100"/>
      <c r="CH17" s="100"/>
      <c r="CI17" s="100"/>
      <c r="CJ17" s="100"/>
      <c r="CK17" s="100"/>
      <c r="CL17" s="100"/>
      <c r="CM17" s="100"/>
      <c r="CN17" s="100"/>
      <c r="CO17" s="100"/>
      <c r="CP17" s="100"/>
      <c r="CQ17" s="100"/>
      <c r="CR17" s="100"/>
      <c r="CS17" s="100"/>
      <c r="CT17" s="100"/>
      <c r="CU17" s="100"/>
      <c r="CV17" s="100"/>
    </row>
    <row r="18" spans="1:100" ht="15.75" x14ac:dyDescent="0.15">
      <c r="A18" s="33"/>
      <c r="B18" s="36"/>
      <c r="C18" s="36"/>
      <c r="D18" s="36"/>
      <c r="E18" s="36"/>
      <c r="F18" s="36"/>
      <c r="G18" s="35"/>
      <c r="H18" s="105"/>
      <c r="I18" s="105"/>
      <c r="J18" s="105"/>
      <c r="K18" s="106"/>
      <c r="L18" s="105"/>
      <c r="M18" s="105"/>
      <c r="N18" s="105"/>
      <c r="O18" s="105"/>
      <c r="P18" s="105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100"/>
      <c r="BD18" s="100"/>
      <c r="BE18" s="100"/>
      <c r="BF18" s="100"/>
      <c r="BG18" s="100"/>
      <c r="BH18" s="100"/>
      <c r="BI18" s="100"/>
      <c r="BJ18" s="100"/>
      <c r="BK18" s="100"/>
      <c r="BL18" s="100"/>
      <c r="BM18" s="100"/>
      <c r="BN18" s="100"/>
      <c r="BO18" s="100"/>
      <c r="BP18" s="100"/>
      <c r="BQ18" s="100"/>
      <c r="BR18" s="100"/>
      <c r="BS18" s="100"/>
      <c r="BT18" s="100"/>
      <c r="BU18" s="100"/>
      <c r="BV18" s="100"/>
      <c r="BW18" s="100"/>
      <c r="BX18" s="100"/>
      <c r="BY18" s="100"/>
      <c r="BZ18" s="100"/>
      <c r="CA18" s="100"/>
      <c r="CB18" s="100"/>
      <c r="CC18" s="100"/>
      <c r="CD18" s="100"/>
      <c r="CE18" s="100"/>
      <c r="CF18" s="100"/>
      <c r="CG18" s="100"/>
      <c r="CH18" s="100"/>
      <c r="CI18" s="100"/>
      <c r="CJ18" s="100"/>
      <c r="CK18" s="100"/>
      <c r="CL18" s="100"/>
      <c r="CM18" s="100"/>
      <c r="CN18" s="100"/>
      <c r="CO18" s="100"/>
      <c r="CP18" s="100"/>
      <c r="CQ18" s="100"/>
      <c r="CR18" s="100"/>
      <c r="CS18" s="100"/>
      <c r="CT18" s="100"/>
      <c r="CU18" s="100"/>
      <c r="CV18" s="100"/>
    </row>
    <row r="19" spans="1:100" ht="15.75" x14ac:dyDescent="0.15">
      <c r="A19" s="33"/>
      <c r="B19" s="36"/>
      <c r="C19" s="36"/>
      <c r="D19" s="36"/>
      <c r="E19" s="36"/>
      <c r="F19" s="36"/>
      <c r="G19" s="35"/>
      <c r="H19" s="105"/>
      <c r="I19" s="105"/>
      <c r="J19" s="105"/>
      <c r="K19" s="106"/>
      <c r="L19" s="105"/>
      <c r="M19" s="105"/>
      <c r="N19" s="105"/>
      <c r="O19" s="105"/>
      <c r="P19" s="105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100"/>
      <c r="BD19" s="100"/>
      <c r="BE19" s="100"/>
      <c r="BF19" s="100"/>
      <c r="BG19" s="100"/>
      <c r="BH19" s="100"/>
      <c r="BI19" s="100"/>
      <c r="BJ19" s="100"/>
      <c r="BK19" s="100"/>
      <c r="BL19" s="100"/>
      <c r="BM19" s="100"/>
      <c r="BN19" s="100"/>
      <c r="BO19" s="100"/>
      <c r="BP19" s="100"/>
      <c r="BQ19" s="100"/>
      <c r="BR19" s="100"/>
      <c r="BS19" s="100"/>
      <c r="BT19" s="100"/>
      <c r="BU19" s="100"/>
      <c r="BV19" s="100"/>
      <c r="BW19" s="100"/>
      <c r="BX19" s="100"/>
      <c r="BY19" s="100"/>
      <c r="BZ19" s="100"/>
      <c r="CA19" s="100"/>
      <c r="CB19" s="100"/>
      <c r="CC19" s="100"/>
      <c r="CD19" s="100"/>
      <c r="CE19" s="100"/>
      <c r="CF19" s="100"/>
      <c r="CG19" s="100"/>
      <c r="CH19" s="100"/>
      <c r="CI19" s="100"/>
      <c r="CJ19" s="100"/>
      <c r="CK19" s="100"/>
      <c r="CL19" s="100"/>
      <c r="CM19" s="100"/>
      <c r="CN19" s="100"/>
      <c r="CO19" s="100"/>
      <c r="CP19" s="100"/>
      <c r="CQ19" s="100"/>
      <c r="CR19" s="100"/>
      <c r="CS19" s="100"/>
      <c r="CT19" s="100"/>
      <c r="CU19" s="100"/>
      <c r="CV19" s="100"/>
    </row>
    <row r="20" spans="1:100" ht="15.75" x14ac:dyDescent="0.15">
      <c r="A20" s="33"/>
      <c r="B20" s="36"/>
      <c r="C20" s="36"/>
      <c r="D20" s="36"/>
      <c r="E20" s="36"/>
      <c r="F20" s="36"/>
      <c r="G20" s="35"/>
      <c r="H20" s="105"/>
      <c r="I20" s="105"/>
      <c r="J20" s="105"/>
      <c r="K20" s="106"/>
      <c r="L20" s="105"/>
      <c r="M20" s="105"/>
      <c r="N20" s="105"/>
      <c r="O20" s="105"/>
      <c r="P20" s="105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100"/>
      <c r="BD20" s="100"/>
      <c r="BE20" s="100"/>
      <c r="BF20" s="100"/>
      <c r="BG20" s="100"/>
      <c r="BH20" s="100"/>
      <c r="BI20" s="100"/>
      <c r="BJ20" s="100"/>
      <c r="BK20" s="100"/>
      <c r="BL20" s="100"/>
      <c r="BM20" s="100"/>
      <c r="BN20" s="100"/>
      <c r="BO20" s="100"/>
      <c r="BP20" s="100"/>
      <c r="BQ20" s="100"/>
      <c r="BR20" s="100"/>
      <c r="BS20" s="100"/>
      <c r="BT20" s="100"/>
      <c r="BU20" s="100"/>
      <c r="BV20" s="100"/>
      <c r="BW20" s="100"/>
      <c r="BX20" s="100"/>
      <c r="BY20" s="100"/>
      <c r="BZ20" s="100"/>
      <c r="CA20" s="100"/>
      <c r="CB20" s="100"/>
      <c r="CC20" s="100"/>
      <c r="CD20" s="100"/>
      <c r="CE20" s="100"/>
      <c r="CF20" s="100"/>
      <c r="CG20" s="100"/>
      <c r="CH20" s="100"/>
      <c r="CI20" s="100"/>
      <c r="CJ20" s="100"/>
      <c r="CK20" s="100"/>
      <c r="CL20" s="100"/>
      <c r="CM20" s="100"/>
      <c r="CN20" s="100"/>
      <c r="CO20" s="100"/>
      <c r="CP20" s="100"/>
      <c r="CQ20" s="100"/>
      <c r="CR20" s="100"/>
      <c r="CS20" s="100"/>
      <c r="CT20" s="100"/>
      <c r="CU20" s="100"/>
      <c r="CV20" s="100"/>
    </row>
    <row r="21" spans="1:100" ht="15.75" x14ac:dyDescent="0.15">
      <c r="A21" s="33"/>
      <c r="B21" s="36"/>
      <c r="C21" s="36"/>
      <c r="D21" s="36"/>
      <c r="E21" s="36"/>
      <c r="F21" s="36"/>
      <c r="G21" s="35"/>
      <c r="H21" s="105"/>
      <c r="I21" s="105"/>
      <c r="J21" s="105"/>
      <c r="K21" s="106"/>
      <c r="L21" s="105"/>
      <c r="M21" s="105"/>
      <c r="N21" s="105"/>
      <c r="O21" s="105"/>
      <c r="P21" s="105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100"/>
      <c r="BK21" s="100"/>
      <c r="BL21" s="100"/>
      <c r="BM21" s="100"/>
      <c r="BN21" s="100"/>
      <c r="BO21" s="100"/>
      <c r="BP21" s="100"/>
      <c r="BQ21" s="100"/>
      <c r="BR21" s="100"/>
      <c r="BS21" s="100"/>
      <c r="BT21" s="100"/>
      <c r="BU21" s="100"/>
      <c r="BV21" s="100"/>
      <c r="BW21" s="100"/>
      <c r="BX21" s="100"/>
      <c r="BY21" s="100"/>
      <c r="BZ21" s="100"/>
      <c r="CA21" s="100"/>
      <c r="CB21" s="100"/>
      <c r="CC21" s="100"/>
      <c r="CD21" s="100"/>
      <c r="CE21" s="100"/>
      <c r="CF21" s="100"/>
      <c r="CG21" s="100"/>
      <c r="CH21" s="100"/>
      <c r="CI21" s="100"/>
      <c r="CJ21" s="100"/>
      <c r="CK21" s="100"/>
      <c r="CL21" s="100"/>
      <c r="CM21" s="100"/>
      <c r="CN21" s="100"/>
      <c r="CO21" s="100"/>
      <c r="CP21" s="100"/>
      <c r="CQ21" s="100"/>
      <c r="CR21" s="100"/>
      <c r="CS21" s="100"/>
      <c r="CT21" s="100"/>
      <c r="CU21" s="100"/>
      <c r="CV21" s="100"/>
    </row>
    <row r="22" spans="1:100" ht="15.75" x14ac:dyDescent="0.15">
      <c r="A22" s="33"/>
      <c r="B22" s="36"/>
      <c r="C22" s="36"/>
      <c r="D22" s="36"/>
      <c r="E22" s="36"/>
      <c r="F22" s="36"/>
      <c r="G22" s="35"/>
      <c r="H22" s="105"/>
      <c r="I22" s="105"/>
      <c r="J22" s="105"/>
      <c r="K22" s="106"/>
      <c r="L22" s="105"/>
      <c r="M22" s="105"/>
      <c r="N22" s="105"/>
      <c r="O22" s="105"/>
      <c r="P22" s="105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100"/>
      <c r="BD22" s="100"/>
      <c r="BE22" s="100"/>
      <c r="BF22" s="100"/>
      <c r="BG22" s="100"/>
      <c r="BH22" s="100"/>
      <c r="BI22" s="100"/>
      <c r="BJ22" s="100"/>
      <c r="BK22" s="100"/>
      <c r="BL22" s="100"/>
      <c r="BM22" s="100"/>
      <c r="BN22" s="100"/>
      <c r="BO22" s="100"/>
      <c r="BP22" s="100"/>
      <c r="BQ22" s="100"/>
      <c r="BR22" s="100"/>
      <c r="BS22" s="100"/>
      <c r="BT22" s="100"/>
      <c r="BU22" s="100"/>
      <c r="BV22" s="100"/>
      <c r="BW22" s="100"/>
      <c r="BX22" s="100"/>
      <c r="BY22" s="100"/>
      <c r="BZ22" s="100"/>
      <c r="CA22" s="100"/>
      <c r="CB22" s="100"/>
      <c r="CC22" s="100"/>
      <c r="CD22" s="100"/>
      <c r="CE22" s="100"/>
      <c r="CF22" s="100"/>
      <c r="CG22" s="100"/>
      <c r="CH22" s="100"/>
      <c r="CI22" s="100"/>
      <c r="CJ22" s="100"/>
      <c r="CK22" s="100"/>
      <c r="CL22" s="100"/>
      <c r="CM22" s="100"/>
      <c r="CN22" s="100"/>
      <c r="CO22" s="100"/>
      <c r="CP22" s="100"/>
      <c r="CQ22" s="100"/>
      <c r="CR22" s="100"/>
      <c r="CS22" s="100"/>
      <c r="CT22" s="100"/>
      <c r="CU22" s="100"/>
      <c r="CV22" s="100"/>
    </row>
    <row r="23" spans="1:100" ht="15.75" x14ac:dyDescent="0.15">
      <c r="A23" s="33"/>
      <c r="B23" s="36"/>
      <c r="C23" s="36"/>
      <c r="D23" s="36"/>
      <c r="E23" s="36"/>
      <c r="F23" s="36"/>
      <c r="G23" s="35"/>
      <c r="H23" s="105"/>
      <c r="I23" s="105"/>
      <c r="J23" s="105"/>
      <c r="K23" s="106"/>
      <c r="L23" s="105"/>
      <c r="M23" s="105"/>
      <c r="N23" s="105"/>
      <c r="O23" s="105"/>
      <c r="P23" s="105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100"/>
      <c r="BD23" s="100"/>
      <c r="BE23" s="100"/>
      <c r="BF23" s="100"/>
      <c r="BG23" s="100"/>
      <c r="BH23" s="100"/>
      <c r="BI23" s="100"/>
      <c r="BJ23" s="100"/>
      <c r="BK23" s="100"/>
      <c r="BL23" s="100"/>
      <c r="BM23" s="100"/>
      <c r="BN23" s="100"/>
      <c r="BO23" s="100"/>
      <c r="BP23" s="100"/>
      <c r="BQ23" s="100"/>
      <c r="BR23" s="100"/>
      <c r="BS23" s="100"/>
      <c r="BT23" s="100"/>
      <c r="BU23" s="100"/>
      <c r="BV23" s="100"/>
      <c r="BW23" s="100"/>
      <c r="BX23" s="100"/>
      <c r="BY23" s="100"/>
      <c r="BZ23" s="100"/>
      <c r="CA23" s="100"/>
      <c r="CB23" s="100"/>
      <c r="CC23" s="100"/>
      <c r="CD23" s="100"/>
      <c r="CE23" s="100"/>
      <c r="CF23" s="100"/>
      <c r="CG23" s="100"/>
      <c r="CH23" s="100"/>
      <c r="CI23" s="100"/>
      <c r="CJ23" s="100"/>
      <c r="CK23" s="100"/>
      <c r="CL23" s="100"/>
      <c r="CM23" s="100"/>
      <c r="CN23" s="100"/>
      <c r="CO23" s="100"/>
      <c r="CP23" s="100"/>
      <c r="CQ23" s="100"/>
      <c r="CR23" s="100"/>
      <c r="CS23" s="100"/>
      <c r="CT23" s="100"/>
      <c r="CU23" s="100"/>
      <c r="CV23" s="100"/>
    </row>
    <row r="24" spans="1:100" ht="15.75" x14ac:dyDescent="0.15">
      <c r="A24" s="33"/>
      <c r="B24" s="36"/>
      <c r="C24" s="36"/>
      <c r="D24" s="36"/>
      <c r="E24" s="36"/>
      <c r="F24" s="36"/>
      <c r="G24" s="35"/>
      <c r="H24" s="105"/>
      <c r="I24" s="105"/>
      <c r="J24" s="105"/>
      <c r="K24" s="106"/>
      <c r="L24" s="105"/>
      <c r="M24" s="105"/>
      <c r="N24" s="105"/>
      <c r="O24" s="105"/>
      <c r="P24" s="105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100"/>
      <c r="AY24" s="100"/>
      <c r="AZ24" s="100"/>
      <c r="BA24" s="100"/>
      <c r="BB24" s="100"/>
      <c r="BC24" s="100"/>
      <c r="BD24" s="100"/>
      <c r="BE24" s="100"/>
      <c r="BF24" s="100"/>
      <c r="BG24" s="100"/>
      <c r="BH24" s="100"/>
      <c r="BI24" s="100"/>
      <c r="BJ24" s="100"/>
      <c r="BK24" s="100"/>
      <c r="BL24" s="100"/>
      <c r="BM24" s="100"/>
      <c r="BN24" s="100"/>
      <c r="BO24" s="100"/>
      <c r="BP24" s="100"/>
      <c r="BQ24" s="100"/>
      <c r="BR24" s="100"/>
      <c r="BS24" s="100"/>
      <c r="BT24" s="100"/>
      <c r="BU24" s="100"/>
      <c r="BV24" s="100"/>
      <c r="BW24" s="100"/>
      <c r="BX24" s="100"/>
      <c r="BY24" s="100"/>
      <c r="BZ24" s="100"/>
      <c r="CA24" s="100"/>
      <c r="CB24" s="100"/>
      <c r="CC24" s="100"/>
      <c r="CD24" s="100"/>
      <c r="CE24" s="100"/>
      <c r="CF24" s="100"/>
      <c r="CG24" s="100"/>
      <c r="CH24" s="100"/>
      <c r="CI24" s="100"/>
      <c r="CJ24" s="100"/>
      <c r="CK24" s="100"/>
      <c r="CL24" s="100"/>
      <c r="CM24" s="100"/>
      <c r="CN24" s="100"/>
      <c r="CO24" s="100"/>
      <c r="CP24" s="100"/>
      <c r="CQ24" s="100"/>
      <c r="CR24" s="100"/>
      <c r="CS24" s="100"/>
      <c r="CT24" s="100"/>
      <c r="CU24" s="100"/>
      <c r="CV24" s="100"/>
    </row>
    <row r="25" spans="1:100" ht="15.75" x14ac:dyDescent="0.15">
      <c r="A25" s="33"/>
      <c r="B25" s="36"/>
      <c r="C25" s="36"/>
      <c r="D25" s="36"/>
      <c r="E25" s="36"/>
      <c r="F25" s="36"/>
      <c r="G25" s="35"/>
      <c r="H25" s="105"/>
      <c r="I25" s="105"/>
      <c r="J25" s="105"/>
      <c r="K25" s="106"/>
      <c r="L25" s="105"/>
      <c r="M25" s="105"/>
      <c r="N25" s="105"/>
      <c r="O25" s="105"/>
      <c r="P25" s="105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0"/>
      <c r="CP25" s="100"/>
      <c r="CQ25" s="100"/>
      <c r="CR25" s="100"/>
      <c r="CS25" s="100"/>
      <c r="CT25" s="100"/>
      <c r="CU25" s="100"/>
      <c r="CV25" s="100"/>
    </row>
    <row r="26" spans="1:100" ht="15.75" x14ac:dyDescent="0.15">
      <c r="A26" s="33"/>
      <c r="B26" s="36"/>
      <c r="C26" s="36"/>
      <c r="D26" s="36"/>
      <c r="E26" s="36"/>
      <c r="F26" s="36"/>
      <c r="G26" s="35"/>
      <c r="H26" s="105"/>
      <c r="I26" s="105"/>
      <c r="J26" s="105"/>
      <c r="K26" s="106"/>
      <c r="L26" s="105"/>
      <c r="M26" s="105"/>
      <c r="N26" s="105"/>
      <c r="O26" s="105"/>
      <c r="P26" s="105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100"/>
      <c r="BD26" s="100"/>
      <c r="BE26" s="100"/>
      <c r="BF26" s="100"/>
      <c r="BG26" s="100"/>
      <c r="BH26" s="100"/>
      <c r="BI26" s="100"/>
      <c r="BJ26" s="100"/>
      <c r="BK26" s="100"/>
      <c r="BL26" s="100"/>
      <c r="BM26" s="100"/>
      <c r="BN26" s="100"/>
      <c r="BO26" s="100"/>
      <c r="BP26" s="100"/>
      <c r="BQ26" s="100"/>
      <c r="BR26" s="100"/>
      <c r="BS26" s="100"/>
      <c r="BT26" s="100"/>
      <c r="BU26" s="100"/>
      <c r="BV26" s="100"/>
      <c r="BW26" s="100"/>
      <c r="BX26" s="100"/>
      <c r="BY26" s="100"/>
      <c r="BZ26" s="100"/>
      <c r="CA26" s="100"/>
      <c r="CB26" s="100"/>
      <c r="CC26" s="100"/>
      <c r="CD26" s="100"/>
      <c r="CE26" s="100"/>
      <c r="CF26" s="100"/>
      <c r="CG26" s="100"/>
      <c r="CH26" s="100"/>
      <c r="CI26" s="100"/>
      <c r="CJ26" s="100"/>
      <c r="CK26" s="100"/>
      <c r="CL26" s="100"/>
      <c r="CM26" s="100"/>
      <c r="CN26" s="100"/>
      <c r="CO26" s="100"/>
      <c r="CP26" s="100"/>
      <c r="CQ26" s="100"/>
      <c r="CR26" s="100"/>
      <c r="CS26" s="100"/>
      <c r="CT26" s="100"/>
      <c r="CU26" s="100"/>
      <c r="CV26" s="100"/>
    </row>
    <row r="27" spans="1:100" ht="15.75" x14ac:dyDescent="0.15">
      <c r="A27" s="33"/>
      <c r="B27" s="36"/>
      <c r="C27" s="36"/>
      <c r="D27" s="36"/>
      <c r="E27" s="36"/>
      <c r="F27" s="36"/>
      <c r="G27" s="35"/>
      <c r="H27" s="105"/>
      <c r="I27" s="105"/>
      <c r="J27" s="105"/>
      <c r="K27" s="106"/>
      <c r="L27" s="105"/>
      <c r="M27" s="105"/>
      <c r="N27" s="105"/>
      <c r="O27" s="105"/>
      <c r="P27" s="105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100"/>
      <c r="AY27" s="100"/>
      <c r="AZ27" s="100"/>
      <c r="BA27" s="100"/>
      <c r="BB27" s="100"/>
      <c r="BC27" s="100"/>
      <c r="BD27" s="100"/>
      <c r="BE27" s="100"/>
      <c r="BF27" s="100"/>
      <c r="BG27" s="100"/>
      <c r="BH27" s="100"/>
      <c r="BI27" s="100"/>
      <c r="BJ27" s="100"/>
      <c r="BK27" s="100"/>
      <c r="BL27" s="100"/>
      <c r="BM27" s="100"/>
      <c r="BN27" s="100"/>
      <c r="BO27" s="100"/>
      <c r="BP27" s="100"/>
      <c r="BQ27" s="100"/>
      <c r="BR27" s="100"/>
      <c r="BS27" s="100"/>
      <c r="BT27" s="100"/>
      <c r="BU27" s="100"/>
      <c r="BV27" s="100"/>
      <c r="BW27" s="100"/>
      <c r="BX27" s="100"/>
      <c r="BY27" s="100"/>
      <c r="BZ27" s="100"/>
      <c r="CA27" s="100"/>
      <c r="CB27" s="100"/>
      <c r="CC27" s="100"/>
      <c r="CD27" s="100"/>
      <c r="CE27" s="100"/>
      <c r="CF27" s="100"/>
      <c r="CG27" s="100"/>
      <c r="CH27" s="100"/>
      <c r="CI27" s="100"/>
      <c r="CJ27" s="100"/>
      <c r="CK27" s="100"/>
      <c r="CL27" s="100"/>
      <c r="CM27" s="100"/>
      <c r="CN27" s="100"/>
      <c r="CO27" s="100"/>
      <c r="CP27" s="100"/>
      <c r="CQ27" s="100"/>
      <c r="CR27" s="100"/>
      <c r="CS27" s="100"/>
      <c r="CT27" s="100"/>
      <c r="CU27" s="100"/>
      <c r="CV27" s="100"/>
    </row>
    <row r="28" spans="1:100" ht="15.75" x14ac:dyDescent="0.15">
      <c r="A28" s="33"/>
      <c r="B28" s="36"/>
      <c r="C28" s="36"/>
      <c r="D28" s="36"/>
      <c r="E28" s="36"/>
      <c r="F28" s="36"/>
      <c r="G28" s="35"/>
      <c r="H28" s="105"/>
      <c r="I28" s="105"/>
      <c r="J28" s="105"/>
      <c r="K28" s="106"/>
      <c r="L28" s="105"/>
      <c r="M28" s="105"/>
      <c r="N28" s="105"/>
      <c r="O28" s="105"/>
      <c r="P28" s="105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100"/>
      <c r="AY28" s="100"/>
      <c r="AZ28" s="100"/>
      <c r="BA28" s="100"/>
      <c r="BB28" s="100"/>
      <c r="BC28" s="100"/>
      <c r="BD28" s="100"/>
      <c r="BE28" s="100"/>
      <c r="BF28" s="100"/>
      <c r="BG28" s="100"/>
      <c r="BH28" s="100"/>
      <c r="BI28" s="100"/>
      <c r="BJ28" s="100"/>
      <c r="BK28" s="100"/>
      <c r="BL28" s="100"/>
      <c r="BM28" s="100"/>
      <c r="BN28" s="100"/>
      <c r="BO28" s="100"/>
      <c r="BP28" s="100"/>
      <c r="BQ28" s="100"/>
      <c r="BR28" s="100"/>
      <c r="BS28" s="100"/>
      <c r="BT28" s="100"/>
      <c r="BU28" s="100"/>
      <c r="BV28" s="100"/>
      <c r="BW28" s="100"/>
      <c r="BX28" s="100"/>
      <c r="BY28" s="100"/>
      <c r="BZ28" s="100"/>
      <c r="CA28" s="100"/>
      <c r="CB28" s="100"/>
      <c r="CC28" s="100"/>
      <c r="CD28" s="100"/>
      <c r="CE28" s="100"/>
      <c r="CF28" s="100"/>
      <c r="CG28" s="100"/>
      <c r="CH28" s="100"/>
      <c r="CI28" s="100"/>
      <c r="CJ28" s="100"/>
      <c r="CK28" s="100"/>
      <c r="CL28" s="100"/>
      <c r="CM28" s="100"/>
      <c r="CN28" s="100"/>
      <c r="CO28" s="100"/>
      <c r="CP28" s="100"/>
      <c r="CQ28" s="100"/>
      <c r="CR28" s="100"/>
      <c r="CS28" s="100"/>
      <c r="CT28" s="100"/>
      <c r="CU28" s="100"/>
      <c r="CV28" s="100"/>
    </row>
    <row r="29" spans="1:100" ht="15.75" x14ac:dyDescent="0.15">
      <c r="A29" s="33"/>
      <c r="B29" s="36"/>
      <c r="C29" s="36"/>
      <c r="D29" s="36"/>
      <c r="E29" s="36"/>
      <c r="F29" s="36"/>
      <c r="G29" s="35"/>
      <c r="H29" s="105"/>
      <c r="I29" s="105"/>
      <c r="J29" s="105"/>
      <c r="K29" s="106"/>
      <c r="L29" s="105"/>
      <c r="M29" s="105"/>
      <c r="N29" s="105"/>
      <c r="O29" s="105"/>
      <c r="P29" s="105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100"/>
      <c r="AY29" s="100"/>
      <c r="AZ29" s="100"/>
      <c r="BA29" s="100"/>
      <c r="BB29" s="100"/>
      <c r="BC29" s="100"/>
      <c r="BD29" s="100"/>
      <c r="BE29" s="100"/>
      <c r="BF29" s="100"/>
      <c r="BG29" s="100"/>
      <c r="BH29" s="100"/>
      <c r="BI29" s="100"/>
      <c r="BJ29" s="100"/>
      <c r="BK29" s="100"/>
      <c r="BL29" s="100"/>
      <c r="BM29" s="100"/>
      <c r="BN29" s="100"/>
      <c r="BO29" s="100"/>
      <c r="BP29" s="100"/>
      <c r="BQ29" s="100"/>
      <c r="BR29" s="100"/>
      <c r="BS29" s="100"/>
      <c r="BT29" s="100"/>
      <c r="BU29" s="100"/>
      <c r="BV29" s="100"/>
      <c r="BW29" s="100"/>
      <c r="BX29" s="100"/>
      <c r="BY29" s="100"/>
      <c r="BZ29" s="100"/>
      <c r="CA29" s="100"/>
      <c r="CB29" s="100"/>
      <c r="CC29" s="100"/>
      <c r="CD29" s="100"/>
      <c r="CE29" s="100"/>
      <c r="CF29" s="100"/>
      <c r="CG29" s="100"/>
      <c r="CH29" s="100"/>
      <c r="CI29" s="100"/>
      <c r="CJ29" s="100"/>
      <c r="CK29" s="100"/>
      <c r="CL29" s="100"/>
      <c r="CM29" s="100"/>
      <c r="CN29" s="100"/>
      <c r="CO29" s="100"/>
      <c r="CP29" s="100"/>
      <c r="CQ29" s="100"/>
      <c r="CR29" s="100"/>
      <c r="CS29" s="100"/>
      <c r="CT29" s="100"/>
      <c r="CU29" s="100"/>
      <c r="CV29" s="100"/>
    </row>
    <row r="30" spans="1:100" ht="15.75" x14ac:dyDescent="0.15">
      <c r="A30" s="33"/>
      <c r="B30" s="36"/>
      <c r="C30" s="36"/>
      <c r="D30" s="36"/>
      <c r="E30" s="36"/>
      <c r="F30" s="36"/>
      <c r="G30" s="35"/>
      <c r="H30" s="105"/>
      <c r="I30" s="105"/>
      <c r="J30" s="105"/>
      <c r="K30" s="106"/>
      <c r="L30" s="105"/>
      <c r="M30" s="105"/>
      <c r="N30" s="105"/>
      <c r="O30" s="105"/>
      <c r="P30" s="105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100"/>
      <c r="AY30" s="100"/>
      <c r="AZ30" s="100"/>
      <c r="BA30" s="100"/>
      <c r="BB30" s="100"/>
      <c r="BC30" s="100"/>
      <c r="BD30" s="100"/>
      <c r="BE30" s="100"/>
      <c r="BF30" s="100"/>
      <c r="BG30" s="100"/>
      <c r="BH30" s="100"/>
      <c r="BI30" s="100"/>
      <c r="BJ30" s="100"/>
      <c r="BK30" s="100"/>
      <c r="BL30" s="100"/>
      <c r="BM30" s="100"/>
      <c r="BN30" s="100"/>
      <c r="BO30" s="100"/>
      <c r="BP30" s="100"/>
      <c r="BQ30" s="100"/>
      <c r="BR30" s="100"/>
      <c r="BS30" s="100"/>
      <c r="BT30" s="100"/>
      <c r="BU30" s="100"/>
      <c r="BV30" s="100"/>
      <c r="BW30" s="100"/>
      <c r="BX30" s="100"/>
      <c r="BY30" s="100"/>
      <c r="BZ30" s="100"/>
      <c r="CA30" s="100"/>
      <c r="CB30" s="100"/>
      <c r="CC30" s="100"/>
      <c r="CD30" s="100"/>
      <c r="CE30" s="100"/>
      <c r="CF30" s="100"/>
      <c r="CG30" s="100"/>
      <c r="CH30" s="100"/>
      <c r="CI30" s="100"/>
      <c r="CJ30" s="100"/>
      <c r="CK30" s="100"/>
      <c r="CL30" s="100"/>
      <c r="CM30" s="100"/>
      <c r="CN30" s="100"/>
      <c r="CO30" s="100"/>
      <c r="CP30" s="100"/>
      <c r="CQ30" s="100"/>
      <c r="CR30" s="100"/>
      <c r="CS30" s="100"/>
      <c r="CT30" s="100"/>
      <c r="CU30" s="100"/>
      <c r="CV30" s="100"/>
    </row>
    <row r="31" spans="1:100" ht="15.75" x14ac:dyDescent="0.15">
      <c r="A31" s="33"/>
      <c r="B31" s="36"/>
      <c r="C31" s="36"/>
      <c r="D31" s="36"/>
      <c r="E31" s="36"/>
      <c r="F31" s="36"/>
      <c r="G31" s="35"/>
      <c r="H31" s="105"/>
      <c r="I31" s="105"/>
      <c r="J31" s="105"/>
      <c r="K31" s="106"/>
      <c r="L31" s="105"/>
      <c r="M31" s="105"/>
      <c r="N31" s="105"/>
      <c r="O31" s="105"/>
      <c r="P31" s="105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100"/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100"/>
      <c r="BY31" s="100"/>
      <c r="BZ31" s="100"/>
      <c r="CA31" s="100"/>
      <c r="CB31" s="100"/>
      <c r="CC31" s="100"/>
      <c r="CD31" s="100"/>
      <c r="CE31" s="100"/>
      <c r="CF31" s="100"/>
      <c r="CG31" s="100"/>
      <c r="CH31" s="100"/>
      <c r="CI31" s="100"/>
      <c r="CJ31" s="100"/>
      <c r="CK31" s="100"/>
      <c r="CL31" s="100"/>
      <c r="CM31" s="100"/>
      <c r="CN31" s="100"/>
      <c r="CO31" s="100"/>
      <c r="CP31" s="100"/>
      <c r="CQ31" s="100"/>
      <c r="CR31" s="100"/>
      <c r="CS31" s="100"/>
      <c r="CT31" s="100"/>
      <c r="CU31" s="100"/>
      <c r="CV31" s="100"/>
    </row>
    <row r="32" spans="1:100" ht="15.75" x14ac:dyDescent="0.15">
      <c r="A32" s="33"/>
      <c r="B32" s="36"/>
      <c r="C32" s="36"/>
      <c r="D32" s="36"/>
      <c r="E32" s="36"/>
      <c r="F32" s="36"/>
      <c r="G32" s="35"/>
      <c r="H32" s="105"/>
      <c r="I32" s="105"/>
      <c r="J32" s="105"/>
      <c r="K32" s="106"/>
      <c r="L32" s="105"/>
      <c r="M32" s="105"/>
      <c r="N32" s="105"/>
      <c r="O32" s="105"/>
      <c r="P32" s="105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100"/>
      <c r="AY32" s="100"/>
      <c r="AZ32" s="100"/>
      <c r="BA32" s="100"/>
      <c r="BB32" s="100"/>
      <c r="BC32" s="100"/>
      <c r="BD32" s="100"/>
      <c r="BE32" s="100"/>
      <c r="BF32" s="100"/>
      <c r="BG32" s="100"/>
      <c r="BH32" s="100"/>
      <c r="BI32" s="100"/>
      <c r="BJ32" s="100"/>
      <c r="BK32" s="100"/>
      <c r="BL32" s="100"/>
      <c r="BM32" s="100"/>
      <c r="BN32" s="100"/>
      <c r="BO32" s="100"/>
      <c r="BP32" s="100"/>
      <c r="BQ32" s="100"/>
      <c r="BR32" s="100"/>
      <c r="BS32" s="100"/>
      <c r="BT32" s="100"/>
      <c r="BU32" s="100"/>
      <c r="BV32" s="100"/>
      <c r="BW32" s="100"/>
      <c r="BX32" s="100"/>
      <c r="BY32" s="100"/>
      <c r="BZ32" s="100"/>
      <c r="CA32" s="100"/>
      <c r="CB32" s="100"/>
      <c r="CC32" s="100"/>
      <c r="CD32" s="100"/>
      <c r="CE32" s="100"/>
      <c r="CF32" s="100"/>
      <c r="CG32" s="100"/>
      <c r="CH32" s="100"/>
      <c r="CI32" s="100"/>
      <c r="CJ32" s="100"/>
      <c r="CK32" s="100"/>
      <c r="CL32" s="100"/>
      <c r="CM32" s="100"/>
      <c r="CN32" s="100"/>
      <c r="CO32" s="100"/>
      <c r="CP32" s="100"/>
      <c r="CQ32" s="100"/>
      <c r="CR32" s="100"/>
      <c r="CS32" s="100"/>
      <c r="CT32" s="100"/>
      <c r="CU32" s="100"/>
      <c r="CV32" s="100"/>
    </row>
    <row r="33" spans="1:100" ht="15.75" x14ac:dyDescent="0.15">
      <c r="A33" s="33"/>
      <c r="B33" s="36"/>
      <c r="C33" s="36"/>
      <c r="D33" s="36"/>
      <c r="E33" s="36"/>
      <c r="F33" s="36"/>
      <c r="G33" s="35"/>
      <c r="H33" s="105"/>
      <c r="I33" s="105"/>
      <c r="J33" s="105"/>
      <c r="K33" s="106"/>
      <c r="L33" s="105"/>
      <c r="M33" s="105"/>
      <c r="N33" s="105"/>
      <c r="O33" s="105"/>
      <c r="P33" s="105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  <c r="BU33" s="100"/>
      <c r="BV33" s="100"/>
      <c r="BW33" s="100"/>
      <c r="BX33" s="100"/>
      <c r="BY33" s="100"/>
      <c r="BZ33" s="100"/>
      <c r="CA33" s="100"/>
      <c r="CB33" s="100"/>
      <c r="CC33" s="100"/>
      <c r="CD33" s="100"/>
      <c r="CE33" s="100"/>
      <c r="CF33" s="100"/>
      <c r="CG33" s="100"/>
      <c r="CH33" s="100"/>
      <c r="CI33" s="100"/>
      <c r="CJ33" s="100"/>
      <c r="CK33" s="100"/>
      <c r="CL33" s="100"/>
      <c r="CM33" s="100"/>
      <c r="CN33" s="100"/>
      <c r="CO33" s="100"/>
      <c r="CP33" s="100"/>
      <c r="CQ33" s="100"/>
      <c r="CR33" s="100"/>
      <c r="CS33" s="100"/>
      <c r="CT33" s="100"/>
      <c r="CU33" s="100"/>
      <c r="CV33" s="100"/>
    </row>
    <row r="34" spans="1:100" ht="15.75" x14ac:dyDescent="0.15">
      <c r="A34" s="33"/>
      <c r="B34" s="36"/>
      <c r="C34" s="36"/>
      <c r="D34" s="36"/>
      <c r="E34" s="36"/>
      <c r="F34" s="36"/>
      <c r="G34" s="35"/>
      <c r="H34" s="105"/>
      <c r="I34" s="105"/>
      <c r="J34" s="105"/>
      <c r="K34" s="106"/>
      <c r="L34" s="105"/>
      <c r="M34" s="105"/>
      <c r="N34" s="105"/>
      <c r="O34" s="105"/>
      <c r="P34" s="105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  <c r="AP34" s="100"/>
      <c r="AQ34" s="100"/>
      <c r="AR34" s="100"/>
      <c r="AS34" s="100"/>
      <c r="AT34" s="100"/>
      <c r="AU34" s="100"/>
      <c r="AV34" s="100"/>
      <c r="AW34" s="100"/>
      <c r="AX34" s="100"/>
      <c r="AY34" s="100"/>
      <c r="AZ34" s="100"/>
      <c r="BA34" s="100"/>
      <c r="BB34" s="100"/>
      <c r="BC34" s="100"/>
      <c r="BD34" s="100"/>
      <c r="BE34" s="100"/>
      <c r="BF34" s="100"/>
      <c r="BG34" s="100"/>
      <c r="BH34" s="100"/>
      <c r="BI34" s="100"/>
      <c r="BJ34" s="100"/>
      <c r="BK34" s="100"/>
      <c r="BL34" s="100"/>
      <c r="BM34" s="100"/>
      <c r="BN34" s="100"/>
      <c r="BO34" s="100"/>
      <c r="BP34" s="100"/>
      <c r="BQ34" s="100"/>
      <c r="BR34" s="100"/>
      <c r="BS34" s="100"/>
      <c r="BT34" s="100"/>
      <c r="BU34" s="100"/>
      <c r="BV34" s="100"/>
      <c r="BW34" s="100"/>
      <c r="BX34" s="100"/>
      <c r="BY34" s="100"/>
      <c r="BZ34" s="100"/>
      <c r="CA34" s="100"/>
      <c r="CB34" s="100"/>
      <c r="CC34" s="100"/>
      <c r="CD34" s="100"/>
      <c r="CE34" s="100"/>
      <c r="CF34" s="100"/>
      <c r="CG34" s="100"/>
      <c r="CH34" s="100"/>
      <c r="CI34" s="100"/>
      <c r="CJ34" s="100"/>
      <c r="CK34" s="100"/>
      <c r="CL34" s="100"/>
      <c r="CM34" s="100"/>
      <c r="CN34" s="100"/>
      <c r="CO34" s="100"/>
      <c r="CP34" s="100"/>
      <c r="CQ34" s="100"/>
      <c r="CR34" s="100"/>
      <c r="CS34" s="100"/>
      <c r="CT34" s="100"/>
      <c r="CU34" s="100"/>
      <c r="CV34" s="100"/>
    </row>
    <row r="35" spans="1:100" ht="15.75" x14ac:dyDescent="0.15">
      <c r="A35" s="33"/>
      <c r="B35" s="36"/>
      <c r="C35" s="36"/>
      <c r="D35" s="36"/>
      <c r="E35" s="36"/>
      <c r="F35" s="36"/>
      <c r="G35" s="35"/>
      <c r="H35" s="105"/>
      <c r="I35" s="105"/>
      <c r="J35" s="105"/>
      <c r="K35" s="106"/>
      <c r="L35" s="105"/>
      <c r="M35" s="105"/>
      <c r="N35" s="105"/>
      <c r="O35" s="105"/>
      <c r="P35" s="105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  <c r="AP35" s="100"/>
      <c r="AQ35" s="100"/>
      <c r="AR35" s="100"/>
      <c r="AS35" s="100"/>
      <c r="AT35" s="100"/>
      <c r="AU35" s="100"/>
      <c r="AV35" s="100"/>
      <c r="AW35" s="100"/>
      <c r="AX35" s="100"/>
      <c r="AY35" s="100"/>
      <c r="AZ35" s="100"/>
      <c r="BA35" s="100"/>
      <c r="BB35" s="100"/>
      <c r="BC35" s="100"/>
      <c r="BD35" s="100"/>
      <c r="BE35" s="100"/>
      <c r="BF35" s="100"/>
      <c r="BG35" s="100"/>
      <c r="BH35" s="100"/>
      <c r="BI35" s="100"/>
      <c r="BJ35" s="100"/>
      <c r="BK35" s="100"/>
      <c r="BL35" s="100"/>
      <c r="BM35" s="100"/>
      <c r="BN35" s="100"/>
      <c r="BO35" s="100"/>
      <c r="BP35" s="100"/>
      <c r="BQ35" s="100"/>
      <c r="BR35" s="100"/>
      <c r="BS35" s="100"/>
      <c r="BT35" s="100"/>
      <c r="BU35" s="100"/>
      <c r="BV35" s="100"/>
      <c r="BW35" s="100"/>
      <c r="BX35" s="100"/>
      <c r="BY35" s="100"/>
      <c r="BZ35" s="100"/>
      <c r="CA35" s="100"/>
      <c r="CB35" s="100"/>
      <c r="CC35" s="100"/>
      <c r="CD35" s="100"/>
      <c r="CE35" s="100"/>
      <c r="CF35" s="100"/>
      <c r="CG35" s="100"/>
      <c r="CH35" s="100"/>
      <c r="CI35" s="100"/>
      <c r="CJ35" s="100"/>
      <c r="CK35" s="100"/>
      <c r="CL35" s="100"/>
      <c r="CM35" s="100"/>
      <c r="CN35" s="100"/>
      <c r="CO35" s="100"/>
      <c r="CP35" s="100"/>
      <c r="CQ35" s="100"/>
      <c r="CR35" s="100"/>
      <c r="CS35" s="100"/>
      <c r="CT35" s="100"/>
      <c r="CU35" s="100"/>
      <c r="CV35" s="100"/>
    </row>
    <row r="36" spans="1:100" ht="15.75" x14ac:dyDescent="0.15">
      <c r="A36" s="33"/>
      <c r="B36" s="36"/>
      <c r="C36" s="36"/>
      <c r="D36" s="36"/>
      <c r="E36" s="36"/>
      <c r="F36" s="36"/>
      <c r="G36" s="35"/>
      <c r="H36" s="105"/>
      <c r="I36" s="105"/>
      <c r="J36" s="105"/>
      <c r="K36" s="106"/>
      <c r="L36" s="105"/>
      <c r="M36" s="105"/>
      <c r="N36" s="105"/>
      <c r="O36" s="105"/>
      <c r="P36" s="105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100"/>
      <c r="AY36" s="100"/>
      <c r="AZ36" s="100"/>
      <c r="BA36" s="100"/>
      <c r="BB36" s="100"/>
      <c r="BC36" s="100"/>
      <c r="BD36" s="100"/>
      <c r="BE36" s="100"/>
      <c r="BF36" s="100"/>
      <c r="BG36" s="100"/>
      <c r="BH36" s="100"/>
      <c r="BI36" s="100"/>
      <c r="BJ36" s="100"/>
      <c r="BK36" s="100"/>
      <c r="BL36" s="100"/>
      <c r="BM36" s="100"/>
      <c r="BN36" s="100"/>
      <c r="BO36" s="100"/>
      <c r="BP36" s="100"/>
      <c r="BQ36" s="100"/>
      <c r="BR36" s="100"/>
      <c r="BS36" s="100"/>
      <c r="BT36" s="100"/>
      <c r="BU36" s="100"/>
      <c r="BV36" s="100"/>
      <c r="BW36" s="100"/>
      <c r="BX36" s="100"/>
      <c r="BY36" s="100"/>
      <c r="BZ36" s="100"/>
      <c r="CA36" s="100"/>
      <c r="CB36" s="100"/>
      <c r="CC36" s="100"/>
      <c r="CD36" s="100"/>
      <c r="CE36" s="100"/>
      <c r="CF36" s="100"/>
      <c r="CG36" s="100"/>
      <c r="CH36" s="100"/>
      <c r="CI36" s="100"/>
      <c r="CJ36" s="100"/>
      <c r="CK36" s="100"/>
      <c r="CL36" s="100"/>
      <c r="CM36" s="100"/>
      <c r="CN36" s="100"/>
      <c r="CO36" s="100"/>
      <c r="CP36" s="100"/>
      <c r="CQ36" s="100"/>
      <c r="CR36" s="100"/>
      <c r="CS36" s="100"/>
      <c r="CT36" s="100"/>
      <c r="CU36" s="100"/>
      <c r="CV36" s="100"/>
    </row>
    <row r="37" spans="1:100" ht="15.75" x14ac:dyDescent="0.15">
      <c r="A37" s="33"/>
      <c r="B37" s="36"/>
      <c r="C37" s="36"/>
      <c r="D37" s="36"/>
      <c r="E37" s="36"/>
      <c r="F37" s="36"/>
      <c r="G37" s="35"/>
      <c r="H37" s="105"/>
      <c r="I37" s="105"/>
      <c r="J37" s="105"/>
      <c r="K37" s="106"/>
      <c r="L37" s="105"/>
      <c r="M37" s="105"/>
      <c r="N37" s="105"/>
      <c r="O37" s="105"/>
      <c r="P37" s="105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100"/>
      <c r="AY37" s="100"/>
      <c r="AZ37" s="100"/>
      <c r="BA37" s="100"/>
      <c r="BB37" s="100"/>
      <c r="BC37" s="100"/>
      <c r="BD37" s="100"/>
      <c r="BE37" s="100"/>
      <c r="BF37" s="100"/>
      <c r="BG37" s="100"/>
      <c r="BH37" s="100"/>
      <c r="BI37" s="100"/>
      <c r="BJ37" s="100"/>
      <c r="BK37" s="100"/>
      <c r="BL37" s="100"/>
      <c r="BM37" s="100"/>
      <c r="BN37" s="100"/>
      <c r="BO37" s="100"/>
      <c r="BP37" s="100"/>
      <c r="BQ37" s="100"/>
      <c r="BR37" s="100"/>
      <c r="BS37" s="100"/>
      <c r="BT37" s="100"/>
      <c r="BU37" s="100"/>
      <c r="BV37" s="100"/>
      <c r="BW37" s="100"/>
      <c r="BX37" s="100"/>
      <c r="BY37" s="100"/>
      <c r="BZ37" s="100"/>
      <c r="CA37" s="100"/>
      <c r="CB37" s="100"/>
      <c r="CC37" s="100"/>
      <c r="CD37" s="100"/>
      <c r="CE37" s="100"/>
      <c r="CF37" s="100"/>
      <c r="CG37" s="100"/>
      <c r="CH37" s="100"/>
      <c r="CI37" s="100"/>
      <c r="CJ37" s="100"/>
      <c r="CK37" s="100"/>
      <c r="CL37" s="100"/>
      <c r="CM37" s="100"/>
      <c r="CN37" s="100"/>
      <c r="CO37" s="100"/>
      <c r="CP37" s="100"/>
      <c r="CQ37" s="100"/>
      <c r="CR37" s="100"/>
      <c r="CS37" s="100"/>
      <c r="CT37" s="100"/>
      <c r="CU37" s="100"/>
      <c r="CV37" s="100"/>
    </row>
    <row r="38" spans="1:100" ht="15.75" x14ac:dyDescent="0.15">
      <c r="A38" s="33"/>
      <c r="B38" s="36"/>
      <c r="C38" s="36"/>
      <c r="D38" s="36"/>
      <c r="E38" s="36"/>
      <c r="F38" s="36"/>
      <c r="G38" s="35"/>
      <c r="H38" s="105"/>
      <c r="I38" s="105"/>
      <c r="J38" s="105"/>
      <c r="K38" s="106"/>
      <c r="L38" s="105"/>
      <c r="M38" s="105"/>
      <c r="N38" s="105"/>
      <c r="O38" s="105"/>
      <c r="P38" s="105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100"/>
      <c r="BE38" s="100"/>
      <c r="BF38" s="100"/>
      <c r="BG38" s="100"/>
      <c r="BH38" s="100"/>
      <c r="BI38" s="100"/>
      <c r="BJ38" s="100"/>
      <c r="BK38" s="100"/>
      <c r="BL38" s="100"/>
      <c r="BM38" s="100"/>
      <c r="BN38" s="100"/>
      <c r="BO38" s="100"/>
      <c r="BP38" s="100"/>
      <c r="BQ38" s="100"/>
      <c r="BR38" s="100"/>
      <c r="BS38" s="100"/>
      <c r="BT38" s="100"/>
      <c r="BU38" s="100"/>
      <c r="BV38" s="100"/>
      <c r="BW38" s="100"/>
      <c r="BX38" s="100"/>
      <c r="BY38" s="100"/>
      <c r="BZ38" s="100"/>
      <c r="CA38" s="100"/>
      <c r="CB38" s="100"/>
      <c r="CC38" s="100"/>
      <c r="CD38" s="100"/>
      <c r="CE38" s="100"/>
      <c r="CF38" s="100"/>
      <c r="CG38" s="100"/>
      <c r="CH38" s="100"/>
      <c r="CI38" s="100"/>
      <c r="CJ38" s="100"/>
      <c r="CK38" s="100"/>
      <c r="CL38" s="100"/>
      <c r="CM38" s="100"/>
      <c r="CN38" s="100"/>
      <c r="CO38" s="100"/>
      <c r="CP38" s="100"/>
      <c r="CQ38" s="100"/>
      <c r="CR38" s="100"/>
      <c r="CS38" s="100"/>
      <c r="CT38" s="100"/>
      <c r="CU38" s="100"/>
      <c r="CV38" s="100"/>
    </row>
    <row r="39" spans="1:100" ht="15.75" x14ac:dyDescent="0.15">
      <c r="A39" s="33"/>
      <c r="B39" s="36"/>
      <c r="C39" s="36"/>
      <c r="D39" s="36"/>
      <c r="E39" s="36"/>
      <c r="F39" s="36"/>
      <c r="G39" s="35"/>
      <c r="H39" s="105"/>
      <c r="I39" s="105"/>
      <c r="J39" s="105"/>
      <c r="K39" s="106"/>
      <c r="L39" s="105"/>
      <c r="M39" s="105"/>
      <c r="N39" s="105"/>
      <c r="O39" s="105"/>
      <c r="P39" s="105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100"/>
      <c r="AY39" s="100"/>
      <c r="AZ39" s="100"/>
      <c r="BA39" s="100"/>
      <c r="BB39" s="100"/>
      <c r="BC39" s="100"/>
      <c r="BD39" s="100"/>
      <c r="BE39" s="100"/>
      <c r="BF39" s="100"/>
      <c r="BG39" s="100"/>
      <c r="BH39" s="100"/>
      <c r="BI39" s="100"/>
      <c r="BJ39" s="100"/>
      <c r="BK39" s="100"/>
      <c r="BL39" s="100"/>
      <c r="BM39" s="100"/>
      <c r="BN39" s="100"/>
      <c r="BO39" s="100"/>
      <c r="BP39" s="100"/>
      <c r="BQ39" s="100"/>
      <c r="BR39" s="100"/>
      <c r="BS39" s="100"/>
      <c r="BT39" s="100"/>
      <c r="BU39" s="100"/>
      <c r="BV39" s="100"/>
      <c r="BW39" s="100"/>
      <c r="BX39" s="100"/>
      <c r="BY39" s="100"/>
      <c r="BZ39" s="100"/>
      <c r="CA39" s="100"/>
      <c r="CB39" s="100"/>
      <c r="CC39" s="100"/>
      <c r="CD39" s="100"/>
      <c r="CE39" s="100"/>
      <c r="CF39" s="100"/>
      <c r="CG39" s="100"/>
      <c r="CH39" s="100"/>
      <c r="CI39" s="100"/>
      <c r="CJ39" s="100"/>
      <c r="CK39" s="100"/>
      <c r="CL39" s="100"/>
      <c r="CM39" s="100"/>
      <c r="CN39" s="100"/>
      <c r="CO39" s="100"/>
      <c r="CP39" s="100"/>
      <c r="CQ39" s="100"/>
      <c r="CR39" s="100"/>
      <c r="CS39" s="100"/>
      <c r="CT39" s="100"/>
      <c r="CU39" s="100"/>
      <c r="CV39" s="100"/>
    </row>
    <row r="40" spans="1:100" ht="15.75" x14ac:dyDescent="0.15">
      <c r="A40" s="33"/>
      <c r="B40" s="36"/>
      <c r="C40" s="36"/>
      <c r="D40" s="36"/>
      <c r="E40" s="36"/>
      <c r="F40" s="36"/>
      <c r="G40" s="35"/>
      <c r="H40" s="105"/>
      <c r="I40" s="105"/>
      <c r="J40" s="105"/>
      <c r="K40" s="106"/>
      <c r="L40" s="105"/>
      <c r="M40" s="105"/>
      <c r="N40" s="105"/>
      <c r="O40" s="105"/>
      <c r="P40" s="105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100"/>
      <c r="AY40" s="100"/>
      <c r="AZ40" s="100"/>
      <c r="BA40" s="100"/>
      <c r="BB40" s="100"/>
      <c r="BC40" s="100"/>
      <c r="BD40" s="100"/>
      <c r="BE40" s="100"/>
      <c r="BF40" s="100"/>
      <c r="BG40" s="100"/>
      <c r="BH40" s="100"/>
      <c r="BI40" s="100"/>
      <c r="BJ40" s="100"/>
      <c r="BK40" s="100"/>
      <c r="BL40" s="100"/>
      <c r="BM40" s="100"/>
      <c r="BN40" s="100"/>
      <c r="BO40" s="100"/>
      <c r="BP40" s="100"/>
      <c r="BQ40" s="100"/>
      <c r="BR40" s="100"/>
      <c r="BS40" s="100"/>
      <c r="BT40" s="100"/>
      <c r="BU40" s="100"/>
      <c r="BV40" s="100"/>
      <c r="BW40" s="100"/>
      <c r="BX40" s="100"/>
      <c r="BY40" s="100"/>
      <c r="BZ40" s="100"/>
      <c r="CA40" s="100"/>
      <c r="CB40" s="100"/>
      <c r="CC40" s="100"/>
      <c r="CD40" s="100"/>
      <c r="CE40" s="100"/>
      <c r="CF40" s="100"/>
      <c r="CG40" s="100"/>
      <c r="CH40" s="100"/>
      <c r="CI40" s="100"/>
      <c r="CJ40" s="100"/>
      <c r="CK40" s="100"/>
      <c r="CL40" s="100"/>
      <c r="CM40" s="100"/>
      <c r="CN40" s="100"/>
      <c r="CO40" s="100"/>
      <c r="CP40" s="100"/>
      <c r="CQ40" s="100"/>
      <c r="CR40" s="100"/>
      <c r="CS40" s="100"/>
      <c r="CT40" s="100"/>
      <c r="CU40" s="100"/>
      <c r="CV40" s="100"/>
    </row>
    <row r="41" spans="1:100" ht="15.75" x14ac:dyDescent="0.15">
      <c r="A41" s="33"/>
      <c r="B41" s="36"/>
      <c r="C41" s="36"/>
      <c r="D41" s="36"/>
      <c r="E41" s="36"/>
      <c r="F41" s="36"/>
      <c r="G41" s="35"/>
      <c r="H41" s="105"/>
      <c r="I41" s="105"/>
      <c r="J41" s="105"/>
      <c r="K41" s="106"/>
      <c r="L41" s="105"/>
      <c r="M41" s="105"/>
      <c r="N41" s="105"/>
      <c r="O41" s="105"/>
      <c r="P41" s="105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100"/>
      <c r="AY41" s="100"/>
      <c r="AZ41" s="100"/>
      <c r="BA41" s="100"/>
      <c r="BB41" s="100"/>
      <c r="BC41" s="100"/>
      <c r="BD41" s="100"/>
      <c r="BE41" s="100"/>
      <c r="BF41" s="100"/>
      <c r="BG41" s="100"/>
      <c r="BH41" s="100"/>
      <c r="BI41" s="100"/>
      <c r="BJ41" s="100"/>
      <c r="BK41" s="100"/>
      <c r="BL41" s="100"/>
      <c r="BM41" s="100"/>
      <c r="BN41" s="100"/>
      <c r="BO41" s="100"/>
      <c r="BP41" s="100"/>
      <c r="BQ41" s="100"/>
      <c r="BR41" s="100"/>
      <c r="BS41" s="100"/>
      <c r="BT41" s="100"/>
      <c r="BU41" s="100"/>
      <c r="BV41" s="100"/>
      <c r="BW41" s="100"/>
      <c r="BX41" s="100"/>
      <c r="BY41" s="100"/>
      <c r="BZ41" s="100"/>
      <c r="CA41" s="100"/>
      <c r="CB41" s="100"/>
      <c r="CC41" s="100"/>
      <c r="CD41" s="100"/>
      <c r="CE41" s="100"/>
      <c r="CF41" s="100"/>
      <c r="CG41" s="100"/>
      <c r="CH41" s="100"/>
      <c r="CI41" s="100"/>
      <c r="CJ41" s="100"/>
      <c r="CK41" s="100"/>
      <c r="CL41" s="100"/>
      <c r="CM41" s="100"/>
      <c r="CN41" s="100"/>
      <c r="CO41" s="100"/>
      <c r="CP41" s="100"/>
      <c r="CQ41" s="100"/>
      <c r="CR41" s="100"/>
      <c r="CS41" s="100"/>
      <c r="CT41" s="100"/>
      <c r="CU41" s="100"/>
      <c r="CV41" s="100"/>
    </row>
    <row r="42" spans="1:100" ht="15.75" x14ac:dyDescent="0.15">
      <c r="A42" s="33"/>
      <c r="B42" s="36"/>
      <c r="C42" s="36"/>
      <c r="D42" s="36"/>
      <c r="E42" s="36"/>
      <c r="F42" s="36"/>
      <c r="G42" s="35"/>
      <c r="H42" s="105"/>
      <c r="I42" s="105"/>
      <c r="J42" s="105"/>
      <c r="K42" s="106"/>
      <c r="L42" s="105"/>
      <c r="M42" s="105"/>
      <c r="N42" s="105"/>
      <c r="O42" s="105"/>
      <c r="P42" s="105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100"/>
      <c r="AY42" s="100"/>
      <c r="AZ42" s="100"/>
      <c r="BA42" s="100"/>
      <c r="BB42" s="100"/>
      <c r="BC42" s="100"/>
      <c r="BD42" s="100"/>
      <c r="BE42" s="100"/>
      <c r="BF42" s="100"/>
      <c r="BG42" s="100"/>
      <c r="BH42" s="100"/>
      <c r="BI42" s="100"/>
      <c r="BJ42" s="100"/>
      <c r="BK42" s="100"/>
      <c r="BL42" s="100"/>
      <c r="BM42" s="100"/>
      <c r="BN42" s="100"/>
      <c r="BO42" s="100"/>
      <c r="BP42" s="100"/>
      <c r="BQ42" s="100"/>
      <c r="BR42" s="100"/>
      <c r="BS42" s="100"/>
      <c r="BT42" s="100"/>
      <c r="BU42" s="100"/>
      <c r="BV42" s="100"/>
      <c r="BW42" s="100"/>
      <c r="BX42" s="100"/>
      <c r="BY42" s="100"/>
      <c r="BZ42" s="100"/>
      <c r="CA42" s="100"/>
      <c r="CB42" s="100"/>
      <c r="CC42" s="100"/>
      <c r="CD42" s="100"/>
      <c r="CE42" s="100"/>
      <c r="CF42" s="100"/>
      <c r="CG42" s="100"/>
      <c r="CH42" s="100"/>
      <c r="CI42" s="100"/>
      <c r="CJ42" s="100"/>
      <c r="CK42" s="100"/>
      <c r="CL42" s="100"/>
      <c r="CM42" s="100"/>
      <c r="CN42" s="100"/>
      <c r="CO42" s="100"/>
      <c r="CP42" s="100"/>
      <c r="CQ42" s="100"/>
      <c r="CR42" s="100"/>
      <c r="CS42" s="100"/>
      <c r="CT42" s="100"/>
      <c r="CU42" s="100"/>
      <c r="CV42" s="100"/>
    </row>
    <row r="43" spans="1:100" ht="15.75" x14ac:dyDescent="0.15">
      <c r="A43" s="33"/>
      <c r="B43" s="36"/>
      <c r="C43" s="36"/>
      <c r="D43" s="36"/>
      <c r="E43" s="36"/>
      <c r="F43" s="36"/>
      <c r="G43" s="35"/>
      <c r="H43" s="105"/>
      <c r="I43" s="105"/>
      <c r="J43" s="105"/>
      <c r="K43" s="106"/>
      <c r="L43" s="105"/>
      <c r="M43" s="105"/>
      <c r="N43" s="105"/>
      <c r="O43" s="105"/>
      <c r="P43" s="105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100"/>
      <c r="AY43" s="100"/>
      <c r="AZ43" s="100"/>
      <c r="BA43" s="100"/>
      <c r="BB43" s="100"/>
      <c r="BC43" s="100"/>
      <c r="BD43" s="100"/>
      <c r="BE43" s="100"/>
      <c r="BF43" s="100"/>
      <c r="BG43" s="100"/>
      <c r="BH43" s="100"/>
      <c r="BI43" s="100"/>
      <c r="BJ43" s="100"/>
      <c r="BK43" s="100"/>
      <c r="BL43" s="100"/>
      <c r="BM43" s="100"/>
      <c r="BN43" s="100"/>
      <c r="BO43" s="100"/>
      <c r="BP43" s="100"/>
      <c r="BQ43" s="100"/>
      <c r="BR43" s="100"/>
      <c r="BS43" s="100"/>
      <c r="BT43" s="100"/>
      <c r="BU43" s="100"/>
      <c r="BV43" s="100"/>
      <c r="BW43" s="100"/>
      <c r="BX43" s="100"/>
      <c r="BY43" s="100"/>
      <c r="BZ43" s="100"/>
      <c r="CA43" s="100"/>
      <c r="CB43" s="100"/>
      <c r="CC43" s="100"/>
      <c r="CD43" s="100"/>
      <c r="CE43" s="100"/>
      <c r="CF43" s="100"/>
      <c r="CG43" s="100"/>
      <c r="CH43" s="100"/>
      <c r="CI43" s="100"/>
      <c r="CJ43" s="100"/>
      <c r="CK43" s="100"/>
      <c r="CL43" s="100"/>
      <c r="CM43" s="100"/>
      <c r="CN43" s="100"/>
      <c r="CO43" s="100"/>
      <c r="CP43" s="100"/>
      <c r="CQ43" s="100"/>
      <c r="CR43" s="100"/>
      <c r="CS43" s="100"/>
      <c r="CT43" s="100"/>
      <c r="CU43" s="100"/>
      <c r="CV43" s="100"/>
    </row>
    <row r="44" spans="1:100" ht="15.75" x14ac:dyDescent="0.15">
      <c r="A44" s="33"/>
      <c r="B44" s="36"/>
      <c r="C44" s="36"/>
      <c r="D44" s="36"/>
      <c r="E44" s="36"/>
      <c r="F44" s="36"/>
      <c r="G44" s="35"/>
      <c r="H44" s="105"/>
      <c r="I44" s="105"/>
      <c r="J44" s="105"/>
      <c r="K44" s="106"/>
      <c r="L44" s="105"/>
      <c r="M44" s="105"/>
      <c r="N44" s="105"/>
      <c r="O44" s="105"/>
      <c r="P44" s="105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100"/>
      <c r="AY44" s="100"/>
      <c r="AZ44" s="100"/>
      <c r="BA44" s="100"/>
      <c r="BB44" s="100"/>
      <c r="BC44" s="100"/>
      <c r="BD44" s="100"/>
      <c r="BE44" s="100"/>
      <c r="BF44" s="100"/>
      <c r="BG44" s="100"/>
      <c r="BH44" s="100"/>
      <c r="BI44" s="100"/>
      <c r="BJ44" s="100"/>
      <c r="BK44" s="100"/>
      <c r="BL44" s="100"/>
      <c r="BM44" s="100"/>
      <c r="BN44" s="100"/>
      <c r="BO44" s="100"/>
      <c r="BP44" s="100"/>
      <c r="BQ44" s="100"/>
      <c r="BR44" s="100"/>
      <c r="BS44" s="100"/>
      <c r="BT44" s="100"/>
      <c r="BU44" s="100"/>
      <c r="BV44" s="100"/>
      <c r="BW44" s="100"/>
      <c r="BX44" s="100"/>
      <c r="BY44" s="100"/>
      <c r="BZ44" s="100"/>
      <c r="CA44" s="100"/>
      <c r="CB44" s="100"/>
      <c r="CC44" s="100"/>
      <c r="CD44" s="100"/>
      <c r="CE44" s="100"/>
      <c r="CF44" s="100"/>
      <c r="CG44" s="100"/>
      <c r="CH44" s="100"/>
      <c r="CI44" s="100"/>
      <c r="CJ44" s="100"/>
      <c r="CK44" s="100"/>
      <c r="CL44" s="100"/>
      <c r="CM44" s="100"/>
      <c r="CN44" s="100"/>
      <c r="CO44" s="100"/>
      <c r="CP44" s="100"/>
      <c r="CQ44" s="100"/>
      <c r="CR44" s="100"/>
      <c r="CS44" s="100"/>
      <c r="CT44" s="100"/>
      <c r="CU44" s="100"/>
      <c r="CV44" s="100"/>
    </row>
    <row r="45" spans="1:100" ht="15.75" x14ac:dyDescent="0.15">
      <c r="A45" s="33"/>
      <c r="B45" s="36"/>
      <c r="C45" s="36"/>
      <c r="D45" s="36"/>
      <c r="E45" s="36"/>
      <c r="F45" s="36"/>
      <c r="G45" s="35"/>
      <c r="H45" s="105"/>
      <c r="I45" s="105"/>
      <c r="J45" s="105"/>
      <c r="K45" s="106"/>
      <c r="L45" s="105"/>
      <c r="M45" s="105"/>
      <c r="N45" s="105"/>
      <c r="O45" s="105"/>
      <c r="P45" s="105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100"/>
      <c r="AY45" s="100"/>
      <c r="AZ45" s="100"/>
      <c r="BA45" s="100"/>
      <c r="BB45" s="100"/>
      <c r="BC45" s="100"/>
      <c r="BD45" s="100"/>
      <c r="BE45" s="100"/>
      <c r="BF45" s="100"/>
      <c r="BG45" s="100"/>
      <c r="BH45" s="100"/>
      <c r="BI45" s="100"/>
      <c r="BJ45" s="100"/>
      <c r="BK45" s="100"/>
      <c r="BL45" s="100"/>
      <c r="BM45" s="100"/>
      <c r="BN45" s="100"/>
      <c r="BO45" s="100"/>
      <c r="BP45" s="100"/>
      <c r="BQ45" s="100"/>
      <c r="BR45" s="100"/>
      <c r="BS45" s="100"/>
      <c r="BT45" s="100"/>
      <c r="BU45" s="100"/>
      <c r="BV45" s="100"/>
      <c r="BW45" s="100"/>
      <c r="BX45" s="100"/>
      <c r="BY45" s="100"/>
      <c r="BZ45" s="100"/>
      <c r="CA45" s="100"/>
      <c r="CB45" s="100"/>
      <c r="CC45" s="100"/>
      <c r="CD45" s="100"/>
      <c r="CE45" s="100"/>
      <c r="CF45" s="100"/>
      <c r="CG45" s="100"/>
      <c r="CH45" s="100"/>
      <c r="CI45" s="100"/>
      <c r="CJ45" s="100"/>
      <c r="CK45" s="100"/>
      <c r="CL45" s="100"/>
      <c r="CM45" s="100"/>
      <c r="CN45" s="100"/>
      <c r="CO45" s="100"/>
      <c r="CP45" s="100"/>
      <c r="CQ45" s="100"/>
      <c r="CR45" s="100"/>
      <c r="CS45" s="100"/>
      <c r="CT45" s="100"/>
      <c r="CU45" s="100"/>
      <c r="CV45" s="100"/>
    </row>
    <row r="46" spans="1:100" ht="15.75" x14ac:dyDescent="0.15">
      <c r="A46" s="33"/>
      <c r="B46" s="36"/>
      <c r="C46" s="36"/>
      <c r="D46" s="36"/>
      <c r="E46" s="36"/>
      <c r="F46" s="36"/>
      <c r="G46" s="35"/>
      <c r="H46" s="105"/>
      <c r="I46" s="105"/>
      <c r="J46" s="105"/>
      <c r="K46" s="106"/>
      <c r="L46" s="105"/>
      <c r="M46" s="105"/>
      <c r="N46" s="105"/>
      <c r="O46" s="105"/>
      <c r="P46" s="105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100"/>
      <c r="AY46" s="100"/>
      <c r="AZ46" s="100"/>
      <c r="BA46" s="100"/>
      <c r="BB46" s="100"/>
      <c r="BC46" s="100"/>
      <c r="BD46" s="100"/>
      <c r="BE46" s="100"/>
      <c r="BF46" s="100"/>
      <c r="BG46" s="100"/>
      <c r="BH46" s="100"/>
      <c r="BI46" s="100"/>
      <c r="BJ46" s="100"/>
      <c r="BK46" s="100"/>
      <c r="BL46" s="100"/>
      <c r="BM46" s="100"/>
      <c r="BN46" s="100"/>
      <c r="BO46" s="100"/>
      <c r="BP46" s="100"/>
      <c r="BQ46" s="100"/>
      <c r="BR46" s="100"/>
      <c r="BS46" s="100"/>
      <c r="BT46" s="100"/>
      <c r="BU46" s="100"/>
      <c r="BV46" s="100"/>
      <c r="BW46" s="100"/>
      <c r="BX46" s="100"/>
      <c r="BY46" s="100"/>
      <c r="BZ46" s="100"/>
      <c r="CA46" s="100"/>
      <c r="CB46" s="100"/>
      <c r="CC46" s="100"/>
      <c r="CD46" s="100"/>
      <c r="CE46" s="100"/>
      <c r="CF46" s="100"/>
      <c r="CG46" s="100"/>
      <c r="CH46" s="100"/>
      <c r="CI46" s="100"/>
      <c r="CJ46" s="100"/>
      <c r="CK46" s="100"/>
      <c r="CL46" s="100"/>
      <c r="CM46" s="100"/>
      <c r="CN46" s="100"/>
      <c r="CO46" s="100"/>
      <c r="CP46" s="100"/>
      <c r="CQ46" s="100"/>
      <c r="CR46" s="100"/>
      <c r="CS46" s="100"/>
      <c r="CT46" s="100"/>
      <c r="CU46" s="100"/>
      <c r="CV46" s="100"/>
    </row>
    <row r="47" spans="1:100" ht="15.75" x14ac:dyDescent="0.15">
      <c r="A47" s="33"/>
      <c r="B47" s="36"/>
      <c r="C47" s="36"/>
      <c r="D47" s="36"/>
      <c r="E47" s="36"/>
      <c r="F47" s="36"/>
      <c r="G47" s="35"/>
      <c r="H47" s="105"/>
      <c r="I47" s="105"/>
      <c r="J47" s="105"/>
      <c r="K47" s="106"/>
      <c r="L47" s="105"/>
      <c r="M47" s="105"/>
      <c r="N47" s="105"/>
      <c r="O47" s="105"/>
      <c r="P47" s="105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100"/>
      <c r="AY47" s="100"/>
      <c r="AZ47" s="100"/>
      <c r="BA47" s="100"/>
      <c r="BB47" s="100"/>
      <c r="BC47" s="100"/>
      <c r="BD47" s="100"/>
      <c r="BE47" s="100"/>
      <c r="BF47" s="100"/>
      <c r="BG47" s="100"/>
      <c r="BH47" s="100"/>
      <c r="BI47" s="100"/>
      <c r="BJ47" s="100"/>
      <c r="BK47" s="100"/>
      <c r="BL47" s="100"/>
      <c r="BM47" s="100"/>
      <c r="BN47" s="100"/>
      <c r="BO47" s="100"/>
      <c r="BP47" s="100"/>
      <c r="BQ47" s="100"/>
      <c r="BR47" s="100"/>
      <c r="BS47" s="100"/>
      <c r="BT47" s="100"/>
      <c r="BU47" s="100"/>
      <c r="BV47" s="100"/>
      <c r="BW47" s="100"/>
      <c r="BX47" s="100"/>
      <c r="BY47" s="100"/>
      <c r="BZ47" s="100"/>
      <c r="CA47" s="100"/>
      <c r="CB47" s="100"/>
      <c r="CC47" s="100"/>
      <c r="CD47" s="100"/>
      <c r="CE47" s="100"/>
      <c r="CF47" s="100"/>
      <c r="CG47" s="100"/>
      <c r="CH47" s="100"/>
      <c r="CI47" s="100"/>
      <c r="CJ47" s="100"/>
      <c r="CK47" s="100"/>
      <c r="CL47" s="100"/>
      <c r="CM47" s="100"/>
      <c r="CN47" s="100"/>
      <c r="CO47" s="100"/>
      <c r="CP47" s="100"/>
      <c r="CQ47" s="100"/>
      <c r="CR47" s="100"/>
      <c r="CS47" s="100"/>
      <c r="CT47" s="100"/>
      <c r="CU47" s="100"/>
      <c r="CV47" s="100"/>
    </row>
    <row r="48" spans="1:100" ht="15.75" x14ac:dyDescent="0.15">
      <c r="A48" s="33"/>
      <c r="B48" s="36"/>
      <c r="C48" s="36"/>
      <c r="D48" s="36"/>
      <c r="E48" s="36"/>
      <c r="F48" s="36"/>
      <c r="G48" s="35"/>
      <c r="H48" s="105"/>
      <c r="I48" s="105"/>
      <c r="J48" s="105"/>
      <c r="K48" s="106"/>
      <c r="L48" s="105"/>
      <c r="M48" s="105"/>
      <c r="N48" s="105"/>
      <c r="O48" s="105"/>
      <c r="P48" s="105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100"/>
      <c r="AX48" s="100"/>
      <c r="AY48" s="100"/>
      <c r="AZ48" s="100"/>
      <c r="BA48" s="100"/>
      <c r="BB48" s="100"/>
      <c r="BC48" s="100"/>
      <c r="BD48" s="100"/>
      <c r="BE48" s="100"/>
      <c r="BF48" s="100"/>
      <c r="BG48" s="100"/>
      <c r="BH48" s="100"/>
      <c r="BI48" s="100"/>
      <c r="BJ48" s="100"/>
      <c r="BK48" s="100"/>
      <c r="BL48" s="100"/>
      <c r="BM48" s="100"/>
      <c r="BN48" s="100"/>
      <c r="BO48" s="100"/>
      <c r="BP48" s="100"/>
      <c r="BQ48" s="100"/>
      <c r="BR48" s="100"/>
      <c r="BS48" s="100"/>
      <c r="BT48" s="100"/>
      <c r="BU48" s="100"/>
      <c r="BV48" s="100"/>
      <c r="BW48" s="100"/>
      <c r="BX48" s="100"/>
      <c r="BY48" s="100"/>
      <c r="BZ48" s="100"/>
      <c r="CA48" s="100"/>
      <c r="CB48" s="100"/>
      <c r="CC48" s="100"/>
      <c r="CD48" s="100"/>
      <c r="CE48" s="100"/>
      <c r="CF48" s="100"/>
      <c r="CG48" s="100"/>
      <c r="CH48" s="100"/>
      <c r="CI48" s="100"/>
      <c r="CJ48" s="100"/>
      <c r="CK48" s="100"/>
      <c r="CL48" s="100"/>
      <c r="CM48" s="100"/>
      <c r="CN48" s="100"/>
      <c r="CO48" s="100"/>
      <c r="CP48" s="100"/>
      <c r="CQ48" s="100"/>
      <c r="CR48" s="100"/>
      <c r="CS48" s="100"/>
      <c r="CT48" s="100"/>
      <c r="CU48" s="100"/>
      <c r="CV48" s="100"/>
    </row>
    <row r="49" spans="1:100" ht="15.75" x14ac:dyDescent="0.15">
      <c r="A49" s="33"/>
      <c r="B49" s="36"/>
      <c r="C49" s="36"/>
      <c r="D49" s="36"/>
      <c r="E49" s="36"/>
      <c r="F49" s="36"/>
      <c r="G49" s="35"/>
      <c r="H49" s="105"/>
      <c r="I49" s="105"/>
      <c r="J49" s="105"/>
      <c r="K49" s="106"/>
      <c r="L49" s="105"/>
      <c r="M49" s="105"/>
      <c r="N49" s="105"/>
      <c r="O49" s="105"/>
      <c r="P49" s="105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100"/>
      <c r="AX49" s="100"/>
      <c r="AY49" s="100"/>
      <c r="AZ49" s="100"/>
      <c r="BA49" s="100"/>
      <c r="BB49" s="100"/>
      <c r="BC49" s="100"/>
      <c r="BD49" s="100"/>
      <c r="BE49" s="100"/>
      <c r="BF49" s="100"/>
      <c r="BG49" s="100"/>
      <c r="BH49" s="100"/>
      <c r="BI49" s="100"/>
      <c r="BJ49" s="100"/>
      <c r="BK49" s="100"/>
      <c r="BL49" s="100"/>
      <c r="BM49" s="100"/>
      <c r="BN49" s="100"/>
      <c r="BO49" s="100"/>
      <c r="BP49" s="100"/>
      <c r="BQ49" s="100"/>
      <c r="BR49" s="100"/>
      <c r="BS49" s="100"/>
      <c r="BT49" s="100"/>
      <c r="BU49" s="100"/>
      <c r="BV49" s="100"/>
      <c r="BW49" s="100"/>
      <c r="BX49" s="100"/>
      <c r="BY49" s="100"/>
      <c r="BZ49" s="100"/>
      <c r="CA49" s="100"/>
      <c r="CB49" s="100"/>
      <c r="CC49" s="100"/>
      <c r="CD49" s="100"/>
      <c r="CE49" s="100"/>
      <c r="CF49" s="100"/>
      <c r="CG49" s="100"/>
      <c r="CH49" s="100"/>
      <c r="CI49" s="100"/>
      <c r="CJ49" s="100"/>
      <c r="CK49" s="100"/>
      <c r="CL49" s="100"/>
      <c r="CM49" s="100"/>
      <c r="CN49" s="100"/>
      <c r="CO49" s="100"/>
      <c r="CP49" s="100"/>
      <c r="CQ49" s="100"/>
      <c r="CR49" s="100"/>
      <c r="CS49" s="100"/>
      <c r="CT49" s="100"/>
      <c r="CU49" s="100"/>
      <c r="CV49" s="100"/>
    </row>
    <row r="50" spans="1:100" ht="15.75" x14ac:dyDescent="0.15">
      <c r="A50" s="33"/>
      <c r="B50" s="36"/>
      <c r="C50" s="36"/>
      <c r="D50" s="36"/>
      <c r="E50" s="36"/>
      <c r="F50" s="36"/>
      <c r="G50" s="35"/>
      <c r="H50" s="105"/>
      <c r="I50" s="105"/>
      <c r="J50" s="105"/>
      <c r="K50" s="106"/>
      <c r="L50" s="105"/>
      <c r="M50" s="105"/>
      <c r="N50" s="105"/>
      <c r="O50" s="105"/>
      <c r="P50" s="105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100"/>
      <c r="AX50" s="100"/>
      <c r="AY50" s="100"/>
      <c r="AZ50" s="100"/>
      <c r="BA50" s="100"/>
      <c r="BB50" s="100"/>
      <c r="BC50" s="100"/>
      <c r="BD50" s="100"/>
      <c r="BE50" s="100"/>
      <c r="BF50" s="100"/>
      <c r="BG50" s="100"/>
      <c r="BH50" s="100"/>
      <c r="BI50" s="100"/>
      <c r="BJ50" s="100"/>
      <c r="BK50" s="100"/>
      <c r="BL50" s="100"/>
      <c r="BM50" s="100"/>
      <c r="BN50" s="100"/>
      <c r="BO50" s="100"/>
      <c r="BP50" s="100"/>
      <c r="BQ50" s="100"/>
      <c r="BR50" s="100"/>
      <c r="BS50" s="100"/>
      <c r="BT50" s="100"/>
      <c r="BU50" s="100"/>
      <c r="BV50" s="100"/>
      <c r="BW50" s="100"/>
      <c r="BX50" s="100"/>
      <c r="BY50" s="100"/>
      <c r="BZ50" s="100"/>
      <c r="CA50" s="100"/>
      <c r="CB50" s="100"/>
      <c r="CC50" s="100"/>
      <c r="CD50" s="100"/>
      <c r="CE50" s="100"/>
      <c r="CF50" s="100"/>
      <c r="CG50" s="100"/>
      <c r="CH50" s="100"/>
      <c r="CI50" s="100"/>
      <c r="CJ50" s="100"/>
      <c r="CK50" s="100"/>
      <c r="CL50" s="100"/>
      <c r="CM50" s="100"/>
      <c r="CN50" s="100"/>
      <c r="CO50" s="100"/>
      <c r="CP50" s="100"/>
      <c r="CQ50" s="100"/>
      <c r="CR50" s="100"/>
      <c r="CS50" s="100"/>
      <c r="CT50" s="100"/>
      <c r="CU50" s="100"/>
      <c r="CV50" s="100"/>
    </row>
    <row r="51" spans="1:100" ht="15.75" x14ac:dyDescent="0.15">
      <c r="A51" s="33"/>
      <c r="B51" s="36"/>
      <c r="C51" s="36"/>
      <c r="D51" s="36"/>
      <c r="E51" s="36"/>
      <c r="F51" s="36"/>
      <c r="G51" s="35"/>
      <c r="H51" s="105"/>
      <c r="I51" s="105"/>
      <c r="J51" s="105"/>
      <c r="K51" s="106"/>
      <c r="L51" s="105"/>
      <c r="M51" s="105"/>
      <c r="N51" s="105"/>
      <c r="O51" s="105"/>
      <c r="P51" s="105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100"/>
      <c r="AY51" s="100"/>
      <c r="AZ51" s="100"/>
      <c r="BA51" s="100"/>
      <c r="BB51" s="100"/>
      <c r="BC51" s="100"/>
      <c r="BD51" s="100"/>
      <c r="BE51" s="100"/>
      <c r="BF51" s="100"/>
      <c r="BG51" s="100"/>
      <c r="BH51" s="100"/>
      <c r="BI51" s="100"/>
      <c r="BJ51" s="100"/>
      <c r="BK51" s="100"/>
      <c r="BL51" s="100"/>
      <c r="BM51" s="100"/>
      <c r="BN51" s="100"/>
      <c r="BO51" s="100"/>
      <c r="BP51" s="100"/>
      <c r="BQ51" s="100"/>
      <c r="BR51" s="100"/>
      <c r="BS51" s="100"/>
      <c r="BT51" s="100"/>
      <c r="BU51" s="100"/>
      <c r="BV51" s="100"/>
      <c r="BW51" s="100"/>
      <c r="BX51" s="100"/>
      <c r="BY51" s="100"/>
      <c r="BZ51" s="100"/>
      <c r="CA51" s="100"/>
      <c r="CB51" s="100"/>
      <c r="CC51" s="100"/>
      <c r="CD51" s="100"/>
      <c r="CE51" s="100"/>
      <c r="CF51" s="100"/>
      <c r="CG51" s="100"/>
      <c r="CH51" s="100"/>
      <c r="CI51" s="100"/>
      <c r="CJ51" s="100"/>
      <c r="CK51" s="100"/>
      <c r="CL51" s="100"/>
      <c r="CM51" s="100"/>
      <c r="CN51" s="100"/>
      <c r="CO51" s="100"/>
      <c r="CP51" s="100"/>
      <c r="CQ51" s="100"/>
      <c r="CR51" s="100"/>
      <c r="CS51" s="100"/>
      <c r="CT51" s="100"/>
      <c r="CU51" s="100"/>
      <c r="CV51" s="100"/>
    </row>
    <row r="52" spans="1:100" ht="15.75" x14ac:dyDescent="0.15">
      <c r="A52" s="33"/>
      <c r="B52" s="36"/>
      <c r="C52" s="36"/>
      <c r="D52" s="36"/>
      <c r="E52" s="36"/>
      <c r="F52" s="36"/>
      <c r="G52" s="35"/>
      <c r="H52" s="105"/>
      <c r="I52" s="105"/>
      <c r="J52" s="105"/>
      <c r="K52" s="106"/>
      <c r="L52" s="105"/>
      <c r="M52" s="105"/>
      <c r="N52" s="105"/>
      <c r="O52" s="105"/>
      <c r="P52" s="105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100"/>
      <c r="AX52" s="100"/>
      <c r="AY52" s="100"/>
      <c r="AZ52" s="100"/>
      <c r="BA52" s="100"/>
      <c r="BB52" s="100"/>
      <c r="BC52" s="100"/>
      <c r="BD52" s="100"/>
      <c r="BE52" s="100"/>
      <c r="BF52" s="100"/>
      <c r="BG52" s="100"/>
      <c r="BH52" s="100"/>
      <c r="BI52" s="100"/>
      <c r="BJ52" s="100"/>
      <c r="BK52" s="100"/>
      <c r="BL52" s="100"/>
      <c r="BM52" s="100"/>
      <c r="BN52" s="100"/>
      <c r="BO52" s="100"/>
      <c r="BP52" s="100"/>
      <c r="BQ52" s="100"/>
      <c r="BR52" s="100"/>
      <c r="BS52" s="100"/>
      <c r="BT52" s="100"/>
      <c r="BU52" s="100"/>
      <c r="BV52" s="100"/>
      <c r="BW52" s="100"/>
      <c r="BX52" s="100"/>
      <c r="BY52" s="100"/>
      <c r="BZ52" s="100"/>
      <c r="CA52" s="100"/>
      <c r="CB52" s="100"/>
      <c r="CC52" s="100"/>
      <c r="CD52" s="100"/>
      <c r="CE52" s="100"/>
      <c r="CF52" s="100"/>
      <c r="CG52" s="100"/>
      <c r="CH52" s="100"/>
      <c r="CI52" s="100"/>
      <c r="CJ52" s="100"/>
      <c r="CK52" s="100"/>
      <c r="CL52" s="100"/>
      <c r="CM52" s="100"/>
      <c r="CN52" s="100"/>
      <c r="CO52" s="100"/>
      <c r="CP52" s="100"/>
      <c r="CQ52" s="100"/>
      <c r="CR52" s="100"/>
      <c r="CS52" s="100"/>
      <c r="CT52" s="100"/>
      <c r="CU52" s="100"/>
      <c r="CV52" s="100"/>
    </row>
    <row r="53" spans="1:100" ht="15.75" x14ac:dyDescent="0.15">
      <c r="A53" s="33"/>
      <c r="B53" s="36"/>
      <c r="C53" s="36"/>
      <c r="D53" s="36"/>
      <c r="E53" s="36"/>
      <c r="F53" s="36"/>
      <c r="G53" s="35"/>
      <c r="H53" s="105"/>
      <c r="I53" s="105"/>
      <c r="J53" s="105"/>
      <c r="K53" s="106"/>
      <c r="L53" s="105"/>
      <c r="M53" s="105"/>
      <c r="N53" s="105"/>
      <c r="O53" s="105"/>
      <c r="P53" s="105"/>
      <c r="Q53" s="100"/>
      <c r="R53" s="100"/>
      <c r="S53" s="100"/>
      <c r="T53" s="100"/>
      <c r="U53" s="100"/>
      <c r="V53" s="100"/>
      <c r="W53" s="100"/>
      <c r="X53" s="100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100"/>
      <c r="AX53" s="100"/>
      <c r="AY53" s="100"/>
      <c r="AZ53" s="100"/>
      <c r="BA53" s="100"/>
      <c r="BB53" s="100"/>
      <c r="BC53" s="100"/>
      <c r="BD53" s="100"/>
      <c r="BE53" s="100"/>
      <c r="BF53" s="100"/>
      <c r="BG53" s="100"/>
      <c r="BH53" s="100"/>
      <c r="BI53" s="100"/>
      <c r="BJ53" s="100"/>
      <c r="BK53" s="100"/>
      <c r="BL53" s="100"/>
      <c r="BM53" s="100"/>
      <c r="BN53" s="100"/>
      <c r="BO53" s="100"/>
      <c r="BP53" s="100"/>
      <c r="BQ53" s="100"/>
      <c r="BR53" s="100"/>
      <c r="BS53" s="100"/>
      <c r="BT53" s="100"/>
      <c r="BU53" s="100"/>
      <c r="BV53" s="100"/>
      <c r="BW53" s="100"/>
      <c r="BX53" s="100"/>
      <c r="BY53" s="100"/>
      <c r="BZ53" s="100"/>
      <c r="CA53" s="100"/>
      <c r="CB53" s="100"/>
      <c r="CC53" s="100"/>
      <c r="CD53" s="100"/>
      <c r="CE53" s="100"/>
      <c r="CF53" s="100"/>
      <c r="CG53" s="100"/>
      <c r="CH53" s="100"/>
      <c r="CI53" s="100"/>
      <c r="CJ53" s="100"/>
      <c r="CK53" s="100"/>
      <c r="CL53" s="100"/>
      <c r="CM53" s="100"/>
      <c r="CN53" s="100"/>
      <c r="CO53" s="100"/>
      <c r="CP53" s="100"/>
      <c r="CQ53" s="100"/>
      <c r="CR53" s="100"/>
      <c r="CS53" s="100"/>
      <c r="CT53" s="100"/>
      <c r="CU53" s="100"/>
      <c r="CV53" s="100"/>
    </row>
    <row r="54" spans="1:100" ht="15.75" x14ac:dyDescent="0.15">
      <c r="A54" s="33"/>
      <c r="B54" s="36"/>
      <c r="C54" s="36"/>
      <c r="D54" s="36"/>
      <c r="E54" s="36"/>
      <c r="F54" s="36"/>
      <c r="G54" s="35"/>
      <c r="H54" s="105"/>
      <c r="I54" s="105"/>
      <c r="J54" s="105"/>
      <c r="K54" s="106"/>
      <c r="L54" s="105"/>
      <c r="M54" s="105"/>
      <c r="N54" s="105"/>
      <c r="O54" s="105"/>
      <c r="P54" s="105"/>
      <c r="Q54" s="100"/>
      <c r="R54" s="100"/>
      <c r="S54" s="100"/>
      <c r="T54" s="100"/>
      <c r="U54" s="100"/>
      <c r="V54" s="100"/>
      <c r="W54" s="100"/>
      <c r="X54" s="100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100"/>
      <c r="AX54" s="100"/>
      <c r="AY54" s="100"/>
      <c r="AZ54" s="100"/>
      <c r="BA54" s="100"/>
      <c r="BB54" s="100"/>
      <c r="BC54" s="100"/>
      <c r="BD54" s="100"/>
      <c r="BE54" s="100"/>
      <c r="BF54" s="100"/>
      <c r="BG54" s="100"/>
      <c r="BH54" s="100"/>
      <c r="BI54" s="100"/>
      <c r="BJ54" s="100"/>
      <c r="BK54" s="100"/>
      <c r="BL54" s="100"/>
      <c r="BM54" s="100"/>
      <c r="BN54" s="100"/>
      <c r="BO54" s="100"/>
      <c r="BP54" s="100"/>
      <c r="BQ54" s="100"/>
      <c r="BR54" s="100"/>
      <c r="BS54" s="100"/>
      <c r="BT54" s="100"/>
      <c r="BU54" s="100"/>
      <c r="BV54" s="100"/>
      <c r="BW54" s="100"/>
      <c r="BX54" s="100"/>
      <c r="BY54" s="100"/>
      <c r="BZ54" s="100"/>
      <c r="CA54" s="100"/>
      <c r="CB54" s="100"/>
      <c r="CC54" s="100"/>
      <c r="CD54" s="100"/>
      <c r="CE54" s="100"/>
      <c r="CF54" s="100"/>
      <c r="CG54" s="100"/>
      <c r="CH54" s="100"/>
      <c r="CI54" s="100"/>
      <c r="CJ54" s="100"/>
      <c r="CK54" s="100"/>
      <c r="CL54" s="100"/>
      <c r="CM54" s="100"/>
      <c r="CN54" s="100"/>
      <c r="CO54" s="100"/>
      <c r="CP54" s="100"/>
      <c r="CQ54" s="100"/>
      <c r="CR54" s="100"/>
      <c r="CS54" s="100"/>
      <c r="CT54" s="100"/>
      <c r="CU54" s="100"/>
      <c r="CV54" s="100"/>
    </row>
    <row r="55" spans="1:100" ht="15.75" x14ac:dyDescent="0.15">
      <c r="A55" s="33"/>
      <c r="B55" s="36"/>
      <c r="C55" s="36"/>
      <c r="D55" s="36"/>
      <c r="E55" s="36"/>
      <c r="F55" s="36"/>
      <c r="G55" s="35"/>
      <c r="H55" s="105"/>
      <c r="I55" s="105"/>
      <c r="J55" s="105"/>
      <c r="K55" s="106"/>
      <c r="L55" s="105"/>
      <c r="M55" s="105"/>
      <c r="N55" s="105"/>
      <c r="O55" s="105"/>
      <c r="P55" s="105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100"/>
      <c r="AY55" s="100"/>
      <c r="AZ55" s="100"/>
      <c r="BA55" s="100"/>
      <c r="BB55" s="100"/>
      <c r="BC55" s="100"/>
      <c r="BD55" s="100"/>
      <c r="BE55" s="100"/>
      <c r="BF55" s="100"/>
      <c r="BG55" s="100"/>
      <c r="BH55" s="100"/>
      <c r="BI55" s="100"/>
      <c r="BJ55" s="100"/>
      <c r="BK55" s="100"/>
      <c r="BL55" s="100"/>
      <c r="BM55" s="100"/>
      <c r="BN55" s="100"/>
      <c r="BO55" s="100"/>
      <c r="BP55" s="100"/>
      <c r="BQ55" s="100"/>
      <c r="BR55" s="100"/>
      <c r="BS55" s="100"/>
      <c r="BT55" s="100"/>
      <c r="BU55" s="100"/>
      <c r="BV55" s="100"/>
      <c r="BW55" s="100"/>
      <c r="BX55" s="100"/>
      <c r="BY55" s="100"/>
      <c r="BZ55" s="100"/>
      <c r="CA55" s="100"/>
      <c r="CB55" s="100"/>
      <c r="CC55" s="100"/>
      <c r="CD55" s="100"/>
      <c r="CE55" s="100"/>
      <c r="CF55" s="100"/>
      <c r="CG55" s="100"/>
      <c r="CH55" s="100"/>
      <c r="CI55" s="100"/>
      <c r="CJ55" s="100"/>
      <c r="CK55" s="100"/>
      <c r="CL55" s="100"/>
      <c r="CM55" s="100"/>
      <c r="CN55" s="100"/>
      <c r="CO55" s="100"/>
      <c r="CP55" s="100"/>
      <c r="CQ55" s="100"/>
      <c r="CR55" s="100"/>
      <c r="CS55" s="100"/>
      <c r="CT55" s="100"/>
      <c r="CU55" s="100"/>
      <c r="CV55" s="100"/>
    </row>
    <row r="56" spans="1:100" ht="15.75" x14ac:dyDescent="0.15">
      <c r="A56" s="33"/>
      <c r="B56" s="36"/>
      <c r="C56" s="36"/>
      <c r="D56" s="36"/>
      <c r="E56" s="36"/>
      <c r="F56" s="36"/>
      <c r="G56" s="35"/>
      <c r="H56" s="105"/>
      <c r="I56" s="105"/>
      <c r="J56" s="105"/>
      <c r="K56" s="106"/>
      <c r="L56" s="105"/>
      <c r="M56" s="105"/>
      <c r="N56" s="105"/>
      <c r="O56" s="105"/>
      <c r="P56" s="105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100"/>
      <c r="BW56" s="100"/>
      <c r="BX56" s="100"/>
      <c r="BY56" s="100"/>
      <c r="BZ56" s="100"/>
      <c r="CA56" s="100"/>
      <c r="CB56" s="100"/>
      <c r="CC56" s="100"/>
      <c r="CD56" s="100"/>
      <c r="CE56" s="100"/>
      <c r="CF56" s="100"/>
      <c r="CG56" s="100"/>
      <c r="CH56" s="100"/>
      <c r="CI56" s="100"/>
      <c r="CJ56" s="100"/>
      <c r="CK56" s="100"/>
      <c r="CL56" s="100"/>
      <c r="CM56" s="100"/>
      <c r="CN56" s="100"/>
      <c r="CO56" s="100"/>
      <c r="CP56" s="100"/>
      <c r="CQ56" s="100"/>
      <c r="CR56" s="100"/>
      <c r="CS56" s="100"/>
      <c r="CT56" s="100"/>
      <c r="CU56" s="100"/>
      <c r="CV56" s="100"/>
    </row>
    <row r="57" spans="1:100" ht="15.75" x14ac:dyDescent="0.15">
      <c r="A57" s="33"/>
      <c r="B57" s="36"/>
      <c r="C57" s="36"/>
      <c r="D57" s="36"/>
      <c r="E57" s="36"/>
      <c r="F57" s="36"/>
      <c r="G57" s="35"/>
      <c r="H57" s="105"/>
      <c r="I57" s="105"/>
      <c r="J57" s="105"/>
      <c r="K57" s="106"/>
      <c r="L57" s="105"/>
      <c r="M57" s="105"/>
      <c r="N57" s="105"/>
      <c r="O57" s="105"/>
      <c r="P57" s="105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100"/>
      <c r="AY57" s="100"/>
      <c r="AZ57" s="100"/>
      <c r="BA57" s="100"/>
      <c r="BB57" s="100"/>
      <c r="BC57" s="100"/>
      <c r="BD57" s="100"/>
      <c r="BE57" s="100"/>
      <c r="BF57" s="100"/>
      <c r="BG57" s="100"/>
      <c r="BH57" s="100"/>
      <c r="BI57" s="100"/>
      <c r="BJ57" s="100"/>
      <c r="BK57" s="100"/>
      <c r="BL57" s="100"/>
      <c r="BM57" s="100"/>
      <c r="BN57" s="100"/>
      <c r="BO57" s="100"/>
      <c r="BP57" s="100"/>
      <c r="BQ57" s="100"/>
      <c r="BR57" s="100"/>
      <c r="BS57" s="100"/>
      <c r="BT57" s="100"/>
      <c r="BU57" s="100"/>
      <c r="BV57" s="100"/>
      <c r="BW57" s="100"/>
      <c r="BX57" s="100"/>
      <c r="BY57" s="100"/>
      <c r="BZ57" s="100"/>
      <c r="CA57" s="100"/>
      <c r="CB57" s="100"/>
      <c r="CC57" s="100"/>
      <c r="CD57" s="100"/>
      <c r="CE57" s="100"/>
      <c r="CF57" s="100"/>
      <c r="CG57" s="100"/>
      <c r="CH57" s="100"/>
      <c r="CI57" s="100"/>
      <c r="CJ57" s="100"/>
      <c r="CK57" s="100"/>
      <c r="CL57" s="100"/>
      <c r="CM57" s="100"/>
      <c r="CN57" s="100"/>
      <c r="CO57" s="100"/>
      <c r="CP57" s="100"/>
      <c r="CQ57" s="100"/>
      <c r="CR57" s="100"/>
      <c r="CS57" s="100"/>
      <c r="CT57" s="100"/>
      <c r="CU57" s="100"/>
      <c r="CV57" s="100"/>
    </row>
    <row r="58" spans="1:100" ht="15.75" x14ac:dyDescent="0.15">
      <c r="A58" s="33"/>
      <c r="B58" s="36"/>
      <c r="C58" s="36"/>
      <c r="D58" s="36"/>
      <c r="E58" s="36"/>
      <c r="F58" s="36"/>
      <c r="G58" s="35"/>
      <c r="H58" s="105"/>
      <c r="I58" s="105"/>
      <c r="J58" s="105"/>
      <c r="K58" s="106"/>
      <c r="L58" s="105"/>
      <c r="M58" s="105"/>
      <c r="N58" s="105"/>
      <c r="O58" s="105"/>
      <c r="P58" s="105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100"/>
      <c r="AY58" s="100"/>
      <c r="AZ58" s="100"/>
      <c r="BA58" s="100"/>
      <c r="BB58" s="100"/>
      <c r="BC58" s="100"/>
      <c r="BD58" s="100"/>
      <c r="BE58" s="100"/>
      <c r="BF58" s="100"/>
      <c r="BG58" s="100"/>
      <c r="BH58" s="100"/>
      <c r="BI58" s="100"/>
      <c r="BJ58" s="100"/>
      <c r="BK58" s="100"/>
      <c r="BL58" s="100"/>
      <c r="BM58" s="100"/>
      <c r="BN58" s="100"/>
      <c r="BO58" s="100"/>
      <c r="BP58" s="100"/>
      <c r="BQ58" s="100"/>
      <c r="BR58" s="100"/>
      <c r="BS58" s="100"/>
      <c r="BT58" s="100"/>
      <c r="BU58" s="100"/>
      <c r="BV58" s="100"/>
      <c r="BW58" s="100"/>
      <c r="BX58" s="100"/>
      <c r="BY58" s="100"/>
      <c r="BZ58" s="100"/>
      <c r="CA58" s="100"/>
      <c r="CB58" s="100"/>
      <c r="CC58" s="100"/>
      <c r="CD58" s="100"/>
      <c r="CE58" s="100"/>
      <c r="CF58" s="100"/>
      <c r="CG58" s="100"/>
      <c r="CH58" s="100"/>
      <c r="CI58" s="100"/>
      <c r="CJ58" s="100"/>
      <c r="CK58" s="100"/>
      <c r="CL58" s="100"/>
      <c r="CM58" s="100"/>
      <c r="CN58" s="100"/>
      <c r="CO58" s="100"/>
      <c r="CP58" s="100"/>
      <c r="CQ58" s="100"/>
      <c r="CR58" s="100"/>
      <c r="CS58" s="100"/>
      <c r="CT58" s="100"/>
      <c r="CU58" s="100"/>
      <c r="CV58" s="100"/>
    </row>
    <row r="59" spans="1:100" ht="15.75" x14ac:dyDescent="0.15">
      <c r="A59" s="33"/>
      <c r="B59" s="36"/>
      <c r="C59" s="36"/>
      <c r="D59" s="36"/>
      <c r="E59" s="36"/>
      <c r="F59" s="36"/>
      <c r="G59" s="35"/>
      <c r="H59" s="105"/>
      <c r="I59" s="105"/>
      <c r="J59" s="105"/>
      <c r="K59" s="106"/>
      <c r="L59" s="105"/>
      <c r="M59" s="105"/>
      <c r="N59" s="105"/>
      <c r="O59" s="105"/>
      <c r="P59" s="105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100"/>
      <c r="AY59" s="100"/>
      <c r="AZ59" s="100"/>
      <c r="BA59" s="100"/>
      <c r="BB59" s="100"/>
      <c r="BC59" s="100"/>
      <c r="BD59" s="100"/>
      <c r="BE59" s="100"/>
      <c r="BF59" s="100"/>
      <c r="BG59" s="100"/>
      <c r="BH59" s="100"/>
      <c r="BI59" s="100"/>
      <c r="BJ59" s="100"/>
      <c r="BK59" s="100"/>
      <c r="BL59" s="100"/>
      <c r="BM59" s="100"/>
      <c r="BN59" s="100"/>
      <c r="BO59" s="100"/>
      <c r="BP59" s="100"/>
      <c r="BQ59" s="100"/>
      <c r="BR59" s="100"/>
      <c r="BS59" s="100"/>
      <c r="BT59" s="100"/>
      <c r="BU59" s="100"/>
      <c r="BV59" s="100"/>
      <c r="BW59" s="100"/>
      <c r="BX59" s="100"/>
      <c r="BY59" s="100"/>
      <c r="BZ59" s="100"/>
      <c r="CA59" s="100"/>
      <c r="CB59" s="100"/>
      <c r="CC59" s="100"/>
      <c r="CD59" s="100"/>
      <c r="CE59" s="100"/>
      <c r="CF59" s="100"/>
      <c r="CG59" s="100"/>
      <c r="CH59" s="100"/>
      <c r="CI59" s="100"/>
      <c r="CJ59" s="100"/>
      <c r="CK59" s="100"/>
      <c r="CL59" s="100"/>
      <c r="CM59" s="100"/>
      <c r="CN59" s="100"/>
      <c r="CO59" s="100"/>
      <c r="CP59" s="100"/>
      <c r="CQ59" s="100"/>
      <c r="CR59" s="100"/>
      <c r="CS59" s="100"/>
      <c r="CT59" s="100"/>
      <c r="CU59" s="100"/>
      <c r="CV59" s="100"/>
    </row>
    <row r="60" spans="1:100" ht="15.75" x14ac:dyDescent="0.15">
      <c r="A60" s="33"/>
      <c r="B60" s="36"/>
      <c r="C60" s="36"/>
      <c r="D60" s="36"/>
      <c r="E60" s="36"/>
      <c r="F60" s="36"/>
      <c r="G60" s="35"/>
      <c r="H60" s="105"/>
      <c r="I60" s="105"/>
      <c r="J60" s="105"/>
      <c r="K60" s="106"/>
      <c r="L60" s="105"/>
      <c r="M60" s="105"/>
      <c r="N60" s="105"/>
      <c r="O60" s="105"/>
      <c r="P60" s="105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  <c r="BI60" s="100"/>
      <c r="BJ60" s="100"/>
      <c r="BK60" s="100"/>
      <c r="BL60" s="100"/>
      <c r="BM60" s="100"/>
      <c r="BN60" s="100"/>
      <c r="BO60" s="100"/>
      <c r="BP60" s="100"/>
      <c r="BQ60" s="100"/>
      <c r="BR60" s="100"/>
      <c r="BS60" s="100"/>
      <c r="BT60" s="100"/>
      <c r="BU60" s="100"/>
      <c r="BV60" s="100"/>
      <c r="BW60" s="100"/>
      <c r="BX60" s="100"/>
      <c r="BY60" s="100"/>
      <c r="BZ60" s="100"/>
      <c r="CA60" s="100"/>
      <c r="CB60" s="100"/>
      <c r="CC60" s="100"/>
      <c r="CD60" s="100"/>
      <c r="CE60" s="100"/>
      <c r="CF60" s="100"/>
      <c r="CG60" s="100"/>
      <c r="CH60" s="100"/>
      <c r="CI60" s="100"/>
      <c r="CJ60" s="100"/>
      <c r="CK60" s="100"/>
      <c r="CL60" s="100"/>
      <c r="CM60" s="100"/>
      <c r="CN60" s="100"/>
      <c r="CO60" s="100"/>
      <c r="CP60" s="100"/>
      <c r="CQ60" s="100"/>
      <c r="CR60" s="100"/>
      <c r="CS60" s="100"/>
      <c r="CT60" s="100"/>
      <c r="CU60" s="100"/>
      <c r="CV60" s="100"/>
    </row>
    <row r="61" spans="1:100" ht="15.75" x14ac:dyDescent="0.15">
      <c r="A61" s="33"/>
      <c r="B61" s="36"/>
      <c r="C61" s="36"/>
      <c r="D61" s="36"/>
      <c r="E61" s="36"/>
      <c r="F61" s="36"/>
      <c r="G61" s="35"/>
      <c r="H61" s="105"/>
      <c r="I61" s="105"/>
      <c r="J61" s="105"/>
      <c r="K61" s="106"/>
      <c r="L61" s="105"/>
      <c r="M61" s="105"/>
      <c r="N61" s="105"/>
      <c r="O61" s="105"/>
      <c r="P61" s="105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100"/>
      <c r="AY61" s="100"/>
      <c r="AZ61" s="100"/>
      <c r="BA61" s="100"/>
      <c r="BB61" s="100"/>
      <c r="BC61" s="100"/>
      <c r="BD61" s="100"/>
      <c r="BE61" s="100"/>
      <c r="BF61" s="100"/>
      <c r="BG61" s="100"/>
      <c r="BH61" s="100"/>
      <c r="BI61" s="100"/>
      <c r="BJ61" s="100"/>
      <c r="BK61" s="100"/>
      <c r="BL61" s="100"/>
      <c r="BM61" s="100"/>
      <c r="BN61" s="100"/>
      <c r="BO61" s="100"/>
      <c r="BP61" s="100"/>
      <c r="BQ61" s="100"/>
      <c r="BR61" s="100"/>
      <c r="BS61" s="100"/>
      <c r="BT61" s="100"/>
      <c r="BU61" s="100"/>
      <c r="BV61" s="100"/>
      <c r="BW61" s="100"/>
      <c r="BX61" s="100"/>
      <c r="BY61" s="100"/>
      <c r="BZ61" s="100"/>
      <c r="CA61" s="100"/>
      <c r="CB61" s="100"/>
      <c r="CC61" s="100"/>
      <c r="CD61" s="100"/>
      <c r="CE61" s="100"/>
      <c r="CF61" s="100"/>
      <c r="CG61" s="100"/>
      <c r="CH61" s="100"/>
      <c r="CI61" s="100"/>
      <c r="CJ61" s="100"/>
      <c r="CK61" s="100"/>
      <c r="CL61" s="100"/>
      <c r="CM61" s="100"/>
      <c r="CN61" s="100"/>
      <c r="CO61" s="100"/>
      <c r="CP61" s="100"/>
      <c r="CQ61" s="100"/>
      <c r="CR61" s="100"/>
      <c r="CS61" s="100"/>
      <c r="CT61" s="100"/>
      <c r="CU61" s="100"/>
      <c r="CV61" s="100"/>
    </row>
    <row r="62" spans="1:100" ht="15.75" x14ac:dyDescent="0.15">
      <c r="A62" s="33"/>
      <c r="B62" s="36"/>
      <c r="C62" s="36"/>
      <c r="D62" s="36"/>
      <c r="E62" s="36"/>
      <c r="F62" s="36"/>
      <c r="G62" s="35"/>
      <c r="H62" s="105"/>
      <c r="I62" s="105"/>
      <c r="J62" s="105"/>
      <c r="K62" s="106"/>
      <c r="L62" s="105"/>
      <c r="M62" s="105"/>
      <c r="N62" s="105"/>
      <c r="O62" s="105"/>
      <c r="P62" s="105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100"/>
      <c r="AY62" s="100"/>
      <c r="AZ62" s="100"/>
      <c r="BA62" s="100"/>
      <c r="BB62" s="100"/>
      <c r="BC62" s="100"/>
      <c r="BD62" s="100"/>
      <c r="BE62" s="100"/>
      <c r="BF62" s="100"/>
      <c r="BG62" s="100"/>
      <c r="BH62" s="100"/>
      <c r="BI62" s="100"/>
      <c r="BJ62" s="100"/>
      <c r="BK62" s="100"/>
      <c r="BL62" s="100"/>
      <c r="BM62" s="100"/>
      <c r="BN62" s="100"/>
      <c r="BO62" s="100"/>
      <c r="BP62" s="100"/>
      <c r="BQ62" s="100"/>
      <c r="BR62" s="100"/>
      <c r="BS62" s="100"/>
      <c r="BT62" s="100"/>
      <c r="BU62" s="100"/>
      <c r="BV62" s="100"/>
      <c r="BW62" s="100"/>
      <c r="BX62" s="100"/>
      <c r="BY62" s="100"/>
      <c r="BZ62" s="100"/>
      <c r="CA62" s="100"/>
      <c r="CB62" s="100"/>
      <c r="CC62" s="100"/>
      <c r="CD62" s="100"/>
      <c r="CE62" s="100"/>
      <c r="CF62" s="100"/>
      <c r="CG62" s="100"/>
      <c r="CH62" s="100"/>
      <c r="CI62" s="100"/>
      <c r="CJ62" s="100"/>
      <c r="CK62" s="100"/>
      <c r="CL62" s="100"/>
      <c r="CM62" s="100"/>
      <c r="CN62" s="100"/>
      <c r="CO62" s="100"/>
      <c r="CP62" s="100"/>
      <c r="CQ62" s="100"/>
      <c r="CR62" s="100"/>
      <c r="CS62" s="100"/>
      <c r="CT62" s="100"/>
      <c r="CU62" s="100"/>
      <c r="CV62" s="100"/>
    </row>
    <row r="63" spans="1:100" ht="15.75" x14ac:dyDescent="0.15">
      <c r="A63" s="33"/>
      <c r="B63" s="36"/>
      <c r="C63" s="36"/>
      <c r="D63" s="36"/>
      <c r="E63" s="36"/>
      <c r="F63" s="36"/>
      <c r="G63" s="35"/>
      <c r="H63" s="105"/>
      <c r="I63" s="105"/>
      <c r="J63" s="105"/>
      <c r="K63" s="106"/>
      <c r="L63" s="105"/>
      <c r="M63" s="105"/>
      <c r="N63" s="105"/>
      <c r="O63" s="105"/>
      <c r="P63" s="105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100"/>
      <c r="AY63" s="100"/>
      <c r="AZ63" s="100"/>
      <c r="BA63" s="100"/>
      <c r="BB63" s="100"/>
      <c r="BC63" s="100"/>
      <c r="BD63" s="100"/>
      <c r="BE63" s="100"/>
      <c r="BF63" s="100"/>
      <c r="BG63" s="100"/>
      <c r="BH63" s="100"/>
      <c r="BI63" s="100"/>
      <c r="BJ63" s="100"/>
      <c r="BK63" s="100"/>
      <c r="BL63" s="100"/>
      <c r="BM63" s="100"/>
      <c r="BN63" s="100"/>
      <c r="BO63" s="100"/>
      <c r="BP63" s="100"/>
      <c r="BQ63" s="100"/>
      <c r="BR63" s="100"/>
      <c r="BS63" s="100"/>
      <c r="BT63" s="100"/>
      <c r="BU63" s="100"/>
      <c r="BV63" s="100"/>
      <c r="BW63" s="100"/>
      <c r="BX63" s="100"/>
      <c r="BY63" s="100"/>
      <c r="BZ63" s="100"/>
      <c r="CA63" s="100"/>
      <c r="CB63" s="100"/>
      <c r="CC63" s="100"/>
      <c r="CD63" s="100"/>
      <c r="CE63" s="100"/>
      <c r="CF63" s="100"/>
      <c r="CG63" s="100"/>
      <c r="CH63" s="100"/>
      <c r="CI63" s="100"/>
      <c r="CJ63" s="100"/>
      <c r="CK63" s="100"/>
      <c r="CL63" s="100"/>
      <c r="CM63" s="100"/>
      <c r="CN63" s="100"/>
      <c r="CO63" s="100"/>
      <c r="CP63" s="100"/>
      <c r="CQ63" s="100"/>
      <c r="CR63" s="100"/>
      <c r="CS63" s="100"/>
      <c r="CT63" s="100"/>
      <c r="CU63" s="100"/>
      <c r="CV63" s="100"/>
    </row>
    <row r="64" spans="1:100" ht="15.75" x14ac:dyDescent="0.15">
      <c r="A64" s="33"/>
      <c r="B64" s="36"/>
      <c r="C64" s="36"/>
      <c r="D64" s="36"/>
      <c r="E64" s="36"/>
      <c r="F64" s="36"/>
      <c r="G64" s="35"/>
      <c r="H64" s="105"/>
      <c r="I64" s="105"/>
      <c r="J64" s="105"/>
      <c r="K64" s="106"/>
      <c r="L64" s="105"/>
      <c r="M64" s="105"/>
      <c r="N64" s="105"/>
      <c r="O64" s="105"/>
      <c r="P64" s="105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100"/>
      <c r="BI64" s="100"/>
      <c r="BJ64" s="100"/>
      <c r="BK64" s="100"/>
      <c r="BL64" s="100"/>
      <c r="BM64" s="100"/>
      <c r="BN64" s="100"/>
      <c r="BO64" s="100"/>
      <c r="BP64" s="100"/>
      <c r="BQ64" s="100"/>
      <c r="BR64" s="100"/>
      <c r="BS64" s="100"/>
      <c r="BT64" s="100"/>
      <c r="BU64" s="100"/>
      <c r="BV64" s="100"/>
      <c r="BW64" s="100"/>
      <c r="BX64" s="100"/>
      <c r="BY64" s="100"/>
      <c r="BZ64" s="100"/>
      <c r="CA64" s="100"/>
      <c r="CB64" s="100"/>
      <c r="CC64" s="100"/>
      <c r="CD64" s="100"/>
      <c r="CE64" s="100"/>
      <c r="CF64" s="100"/>
      <c r="CG64" s="100"/>
      <c r="CH64" s="100"/>
      <c r="CI64" s="100"/>
      <c r="CJ64" s="100"/>
      <c r="CK64" s="100"/>
      <c r="CL64" s="100"/>
      <c r="CM64" s="100"/>
      <c r="CN64" s="100"/>
      <c r="CO64" s="100"/>
      <c r="CP64" s="100"/>
      <c r="CQ64" s="100"/>
      <c r="CR64" s="100"/>
      <c r="CS64" s="100"/>
      <c r="CT64" s="100"/>
      <c r="CU64" s="100"/>
      <c r="CV64" s="100"/>
    </row>
    <row r="65" spans="1:100" ht="15.75" x14ac:dyDescent="0.15">
      <c r="A65" s="33"/>
      <c r="B65" s="36"/>
      <c r="C65" s="36"/>
      <c r="D65" s="36"/>
      <c r="E65" s="36"/>
      <c r="F65" s="36"/>
      <c r="G65" s="35"/>
      <c r="H65" s="105"/>
      <c r="I65" s="105"/>
      <c r="J65" s="105"/>
      <c r="K65" s="106"/>
      <c r="L65" s="105"/>
      <c r="M65" s="105"/>
      <c r="N65" s="105"/>
      <c r="O65" s="105"/>
      <c r="P65" s="105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  <c r="BU65" s="100"/>
      <c r="BV65" s="100"/>
      <c r="BW65" s="100"/>
      <c r="BX65" s="100"/>
      <c r="BY65" s="100"/>
      <c r="BZ65" s="100"/>
      <c r="CA65" s="100"/>
      <c r="CB65" s="100"/>
      <c r="CC65" s="100"/>
      <c r="CD65" s="100"/>
      <c r="CE65" s="100"/>
      <c r="CF65" s="100"/>
      <c r="CG65" s="100"/>
      <c r="CH65" s="100"/>
      <c r="CI65" s="100"/>
      <c r="CJ65" s="100"/>
      <c r="CK65" s="100"/>
      <c r="CL65" s="100"/>
      <c r="CM65" s="100"/>
      <c r="CN65" s="100"/>
      <c r="CO65" s="100"/>
      <c r="CP65" s="100"/>
      <c r="CQ65" s="100"/>
      <c r="CR65" s="100"/>
      <c r="CS65" s="100"/>
      <c r="CT65" s="100"/>
      <c r="CU65" s="100"/>
      <c r="CV65" s="100"/>
    </row>
    <row r="66" spans="1:100" ht="15.75" x14ac:dyDescent="0.15">
      <c r="A66" s="33"/>
      <c r="B66" s="36"/>
      <c r="C66" s="36"/>
      <c r="D66" s="36"/>
      <c r="E66" s="36"/>
      <c r="F66" s="36"/>
      <c r="G66" s="35"/>
      <c r="H66" s="105"/>
      <c r="I66" s="105"/>
      <c r="J66" s="105"/>
      <c r="K66" s="106"/>
      <c r="L66" s="105"/>
      <c r="M66" s="105"/>
      <c r="N66" s="105"/>
      <c r="O66" s="105"/>
      <c r="P66" s="105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  <c r="AJ66" s="100"/>
      <c r="AK66" s="100"/>
      <c r="AL66" s="100"/>
      <c r="AM66" s="100"/>
      <c r="AN66" s="100"/>
      <c r="AO66" s="100"/>
      <c r="AP66" s="100"/>
      <c r="AQ66" s="100"/>
      <c r="AR66" s="100"/>
      <c r="AS66" s="100"/>
      <c r="AT66" s="100"/>
      <c r="AU66" s="100"/>
      <c r="AV66" s="100"/>
      <c r="AW66" s="100"/>
      <c r="AX66" s="100"/>
      <c r="AY66" s="100"/>
      <c r="AZ66" s="100"/>
      <c r="BA66" s="100"/>
      <c r="BB66" s="100"/>
      <c r="BC66" s="100"/>
      <c r="BD66" s="100"/>
      <c r="BE66" s="100"/>
      <c r="BF66" s="100"/>
      <c r="BG66" s="100"/>
      <c r="BH66" s="100"/>
      <c r="BI66" s="100"/>
      <c r="BJ66" s="100"/>
      <c r="BK66" s="100"/>
      <c r="BL66" s="100"/>
      <c r="BM66" s="100"/>
      <c r="BN66" s="100"/>
      <c r="BO66" s="100"/>
      <c r="BP66" s="100"/>
      <c r="BQ66" s="100"/>
      <c r="BR66" s="100"/>
      <c r="BS66" s="100"/>
      <c r="BT66" s="100"/>
      <c r="BU66" s="100"/>
      <c r="BV66" s="100"/>
      <c r="BW66" s="100"/>
      <c r="BX66" s="100"/>
      <c r="BY66" s="100"/>
      <c r="BZ66" s="100"/>
      <c r="CA66" s="100"/>
      <c r="CB66" s="100"/>
      <c r="CC66" s="100"/>
      <c r="CD66" s="100"/>
      <c r="CE66" s="100"/>
      <c r="CF66" s="100"/>
      <c r="CG66" s="100"/>
      <c r="CH66" s="100"/>
      <c r="CI66" s="100"/>
      <c r="CJ66" s="100"/>
      <c r="CK66" s="100"/>
      <c r="CL66" s="100"/>
      <c r="CM66" s="100"/>
      <c r="CN66" s="100"/>
      <c r="CO66" s="100"/>
      <c r="CP66" s="100"/>
      <c r="CQ66" s="100"/>
      <c r="CR66" s="100"/>
      <c r="CS66" s="100"/>
      <c r="CT66" s="100"/>
      <c r="CU66" s="100"/>
      <c r="CV66" s="100"/>
    </row>
    <row r="67" spans="1:100" ht="15.75" x14ac:dyDescent="0.15">
      <c r="A67" s="33"/>
      <c r="B67" s="36"/>
      <c r="C67" s="36"/>
      <c r="D67" s="36"/>
      <c r="E67" s="36"/>
      <c r="F67" s="36"/>
      <c r="G67" s="35"/>
      <c r="H67" s="105"/>
      <c r="I67" s="105"/>
      <c r="J67" s="105"/>
      <c r="K67" s="106"/>
      <c r="L67" s="105"/>
      <c r="M67" s="105"/>
      <c r="N67" s="105"/>
      <c r="O67" s="105"/>
      <c r="P67" s="105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0"/>
      <c r="AJ67" s="100"/>
      <c r="AK67" s="100"/>
      <c r="AL67" s="100"/>
      <c r="AM67" s="100"/>
      <c r="AN67" s="100"/>
      <c r="AO67" s="100"/>
      <c r="AP67" s="100"/>
      <c r="AQ67" s="100"/>
      <c r="AR67" s="100"/>
      <c r="AS67" s="100"/>
      <c r="AT67" s="100"/>
      <c r="AU67" s="100"/>
      <c r="AV67" s="100"/>
      <c r="AW67" s="100"/>
      <c r="AX67" s="100"/>
      <c r="AY67" s="100"/>
      <c r="AZ67" s="100"/>
      <c r="BA67" s="100"/>
      <c r="BB67" s="100"/>
      <c r="BC67" s="100"/>
      <c r="BD67" s="100"/>
      <c r="BE67" s="100"/>
      <c r="BF67" s="100"/>
      <c r="BG67" s="100"/>
      <c r="BH67" s="100"/>
      <c r="BI67" s="100"/>
      <c r="BJ67" s="100"/>
      <c r="BK67" s="100"/>
      <c r="BL67" s="100"/>
      <c r="BM67" s="100"/>
      <c r="BN67" s="100"/>
      <c r="BO67" s="100"/>
      <c r="BP67" s="100"/>
      <c r="BQ67" s="100"/>
      <c r="BR67" s="100"/>
      <c r="BS67" s="100"/>
      <c r="BT67" s="100"/>
      <c r="BU67" s="100"/>
      <c r="BV67" s="100"/>
      <c r="BW67" s="100"/>
      <c r="BX67" s="100"/>
      <c r="BY67" s="100"/>
      <c r="BZ67" s="100"/>
      <c r="CA67" s="100"/>
      <c r="CB67" s="100"/>
      <c r="CC67" s="100"/>
      <c r="CD67" s="100"/>
      <c r="CE67" s="100"/>
      <c r="CF67" s="100"/>
      <c r="CG67" s="100"/>
      <c r="CH67" s="100"/>
      <c r="CI67" s="100"/>
      <c r="CJ67" s="100"/>
      <c r="CK67" s="100"/>
      <c r="CL67" s="100"/>
      <c r="CM67" s="100"/>
      <c r="CN67" s="100"/>
      <c r="CO67" s="100"/>
      <c r="CP67" s="100"/>
      <c r="CQ67" s="100"/>
      <c r="CR67" s="100"/>
      <c r="CS67" s="100"/>
      <c r="CT67" s="100"/>
      <c r="CU67" s="100"/>
      <c r="CV67" s="100"/>
    </row>
    <row r="68" spans="1:100" ht="15.75" x14ac:dyDescent="0.15">
      <c r="A68" s="33"/>
      <c r="B68" s="36"/>
      <c r="C68" s="36"/>
      <c r="D68" s="36"/>
      <c r="E68" s="36"/>
      <c r="F68" s="36"/>
      <c r="G68" s="35"/>
      <c r="H68" s="105"/>
      <c r="I68" s="105"/>
      <c r="J68" s="105"/>
      <c r="K68" s="106"/>
      <c r="L68" s="105"/>
      <c r="M68" s="105"/>
      <c r="N68" s="105"/>
      <c r="O68" s="105"/>
      <c r="P68" s="105"/>
      <c r="Q68" s="100"/>
      <c r="R68" s="100"/>
      <c r="S68" s="100"/>
      <c r="T68" s="100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100"/>
      <c r="AY68" s="100"/>
      <c r="AZ68" s="100"/>
      <c r="BA68" s="100"/>
      <c r="BB68" s="100"/>
      <c r="BC68" s="100"/>
      <c r="BD68" s="100"/>
      <c r="BE68" s="100"/>
      <c r="BF68" s="100"/>
      <c r="BG68" s="100"/>
      <c r="BH68" s="100"/>
      <c r="BI68" s="100"/>
      <c r="BJ68" s="100"/>
      <c r="BK68" s="100"/>
      <c r="BL68" s="100"/>
      <c r="BM68" s="100"/>
      <c r="BN68" s="100"/>
      <c r="BO68" s="100"/>
      <c r="BP68" s="100"/>
      <c r="BQ68" s="100"/>
      <c r="BR68" s="100"/>
      <c r="BS68" s="100"/>
      <c r="BT68" s="100"/>
      <c r="BU68" s="100"/>
      <c r="BV68" s="100"/>
      <c r="BW68" s="100"/>
      <c r="BX68" s="100"/>
      <c r="BY68" s="100"/>
      <c r="BZ68" s="100"/>
      <c r="CA68" s="100"/>
      <c r="CB68" s="100"/>
      <c r="CC68" s="100"/>
      <c r="CD68" s="100"/>
      <c r="CE68" s="100"/>
      <c r="CF68" s="100"/>
      <c r="CG68" s="100"/>
      <c r="CH68" s="100"/>
      <c r="CI68" s="100"/>
      <c r="CJ68" s="100"/>
      <c r="CK68" s="100"/>
      <c r="CL68" s="100"/>
      <c r="CM68" s="100"/>
      <c r="CN68" s="100"/>
      <c r="CO68" s="100"/>
      <c r="CP68" s="100"/>
      <c r="CQ68" s="100"/>
      <c r="CR68" s="100"/>
      <c r="CS68" s="100"/>
      <c r="CT68" s="100"/>
      <c r="CU68" s="100"/>
      <c r="CV68" s="100"/>
    </row>
    <row r="69" spans="1:100" ht="15.75" x14ac:dyDescent="0.15">
      <c r="A69" s="33"/>
      <c r="B69" s="36"/>
      <c r="C69" s="36"/>
      <c r="D69" s="36"/>
      <c r="E69" s="36"/>
      <c r="F69" s="36"/>
      <c r="G69" s="35"/>
      <c r="H69" s="105"/>
      <c r="I69" s="105"/>
      <c r="J69" s="105"/>
      <c r="K69" s="106"/>
      <c r="L69" s="105"/>
      <c r="M69" s="105"/>
      <c r="N69" s="105"/>
      <c r="O69" s="105"/>
      <c r="P69" s="105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100"/>
      <c r="AY69" s="100"/>
      <c r="AZ69" s="100"/>
      <c r="BA69" s="100"/>
      <c r="BB69" s="100"/>
      <c r="BC69" s="100"/>
      <c r="BD69" s="100"/>
      <c r="BE69" s="100"/>
      <c r="BF69" s="100"/>
      <c r="BG69" s="100"/>
      <c r="BH69" s="100"/>
      <c r="BI69" s="100"/>
      <c r="BJ69" s="100"/>
      <c r="BK69" s="100"/>
      <c r="BL69" s="100"/>
      <c r="BM69" s="100"/>
      <c r="BN69" s="100"/>
      <c r="BO69" s="100"/>
      <c r="BP69" s="100"/>
      <c r="BQ69" s="100"/>
      <c r="BR69" s="100"/>
      <c r="BS69" s="100"/>
      <c r="BT69" s="100"/>
      <c r="BU69" s="100"/>
      <c r="BV69" s="100"/>
      <c r="BW69" s="100"/>
      <c r="BX69" s="100"/>
      <c r="BY69" s="100"/>
      <c r="BZ69" s="100"/>
      <c r="CA69" s="100"/>
      <c r="CB69" s="100"/>
      <c r="CC69" s="100"/>
      <c r="CD69" s="100"/>
      <c r="CE69" s="100"/>
      <c r="CF69" s="100"/>
      <c r="CG69" s="100"/>
      <c r="CH69" s="100"/>
      <c r="CI69" s="100"/>
      <c r="CJ69" s="100"/>
      <c r="CK69" s="100"/>
      <c r="CL69" s="100"/>
      <c r="CM69" s="100"/>
      <c r="CN69" s="100"/>
      <c r="CO69" s="100"/>
      <c r="CP69" s="100"/>
      <c r="CQ69" s="100"/>
      <c r="CR69" s="100"/>
      <c r="CS69" s="100"/>
      <c r="CT69" s="100"/>
      <c r="CU69" s="100"/>
      <c r="CV69" s="100"/>
    </row>
    <row r="70" spans="1:100" ht="15.75" x14ac:dyDescent="0.15">
      <c r="A70" s="33"/>
      <c r="B70" s="36"/>
      <c r="C70" s="36"/>
      <c r="D70" s="36"/>
      <c r="E70" s="36"/>
      <c r="F70" s="36"/>
      <c r="G70" s="35"/>
      <c r="H70" s="105"/>
      <c r="I70" s="105"/>
      <c r="J70" s="105"/>
      <c r="K70" s="106"/>
      <c r="L70" s="105"/>
      <c r="M70" s="105"/>
      <c r="N70" s="105"/>
      <c r="O70" s="105"/>
      <c r="P70" s="105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100"/>
      <c r="AY70" s="100"/>
      <c r="AZ70" s="100"/>
      <c r="BA70" s="100"/>
      <c r="BB70" s="100"/>
      <c r="BC70" s="100"/>
      <c r="BD70" s="100"/>
      <c r="BE70" s="100"/>
      <c r="BF70" s="100"/>
      <c r="BG70" s="100"/>
      <c r="BH70" s="100"/>
      <c r="BI70" s="100"/>
      <c r="BJ70" s="100"/>
      <c r="BK70" s="100"/>
      <c r="BL70" s="100"/>
      <c r="BM70" s="100"/>
      <c r="BN70" s="100"/>
      <c r="BO70" s="100"/>
      <c r="BP70" s="100"/>
      <c r="BQ70" s="100"/>
      <c r="BR70" s="100"/>
      <c r="BS70" s="100"/>
      <c r="BT70" s="100"/>
      <c r="BU70" s="100"/>
      <c r="BV70" s="100"/>
      <c r="BW70" s="100"/>
      <c r="BX70" s="100"/>
      <c r="BY70" s="100"/>
      <c r="BZ70" s="100"/>
      <c r="CA70" s="100"/>
      <c r="CB70" s="100"/>
      <c r="CC70" s="100"/>
      <c r="CD70" s="100"/>
      <c r="CE70" s="100"/>
      <c r="CF70" s="100"/>
      <c r="CG70" s="100"/>
      <c r="CH70" s="100"/>
      <c r="CI70" s="100"/>
      <c r="CJ70" s="100"/>
      <c r="CK70" s="100"/>
      <c r="CL70" s="100"/>
      <c r="CM70" s="100"/>
      <c r="CN70" s="100"/>
      <c r="CO70" s="100"/>
      <c r="CP70" s="100"/>
      <c r="CQ70" s="100"/>
      <c r="CR70" s="100"/>
      <c r="CS70" s="100"/>
      <c r="CT70" s="100"/>
      <c r="CU70" s="100"/>
      <c r="CV70" s="100"/>
    </row>
    <row r="71" spans="1:100" ht="15.75" x14ac:dyDescent="0.15">
      <c r="A71" s="33"/>
      <c r="B71" s="36"/>
      <c r="C71" s="36"/>
      <c r="D71" s="36"/>
      <c r="E71" s="36"/>
      <c r="F71" s="36"/>
      <c r="G71" s="35"/>
      <c r="H71" s="105"/>
      <c r="I71" s="105"/>
      <c r="J71" s="105"/>
      <c r="K71" s="106"/>
      <c r="L71" s="105"/>
      <c r="M71" s="105"/>
      <c r="N71" s="105"/>
      <c r="O71" s="105"/>
      <c r="P71" s="105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100"/>
      <c r="AC71" s="100"/>
      <c r="AD71" s="100"/>
      <c r="AE71" s="100"/>
      <c r="AF71" s="100"/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100"/>
      <c r="AY71" s="100"/>
      <c r="AZ71" s="100"/>
      <c r="BA71" s="100"/>
      <c r="BB71" s="100"/>
      <c r="BC71" s="100"/>
      <c r="BD71" s="100"/>
      <c r="BE71" s="100"/>
      <c r="BF71" s="100"/>
      <c r="BG71" s="100"/>
      <c r="BH71" s="100"/>
      <c r="BI71" s="100"/>
      <c r="BJ71" s="100"/>
      <c r="BK71" s="100"/>
      <c r="BL71" s="100"/>
      <c r="BM71" s="100"/>
      <c r="BN71" s="100"/>
      <c r="BO71" s="100"/>
      <c r="BP71" s="100"/>
      <c r="BQ71" s="100"/>
      <c r="BR71" s="100"/>
      <c r="BS71" s="100"/>
      <c r="BT71" s="100"/>
      <c r="BU71" s="100"/>
      <c r="BV71" s="100"/>
      <c r="BW71" s="100"/>
      <c r="BX71" s="100"/>
      <c r="BY71" s="100"/>
      <c r="BZ71" s="100"/>
      <c r="CA71" s="100"/>
      <c r="CB71" s="100"/>
      <c r="CC71" s="100"/>
      <c r="CD71" s="100"/>
      <c r="CE71" s="100"/>
      <c r="CF71" s="100"/>
      <c r="CG71" s="100"/>
      <c r="CH71" s="100"/>
      <c r="CI71" s="100"/>
      <c r="CJ71" s="100"/>
      <c r="CK71" s="100"/>
      <c r="CL71" s="100"/>
      <c r="CM71" s="100"/>
      <c r="CN71" s="100"/>
      <c r="CO71" s="100"/>
      <c r="CP71" s="100"/>
      <c r="CQ71" s="100"/>
      <c r="CR71" s="100"/>
      <c r="CS71" s="100"/>
      <c r="CT71" s="100"/>
      <c r="CU71" s="100"/>
      <c r="CV71" s="100"/>
    </row>
    <row r="72" spans="1:100" ht="15.75" x14ac:dyDescent="0.15">
      <c r="A72" s="33"/>
      <c r="B72" s="36"/>
      <c r="C72" s="36"/>
      <c r="D72" s="36"/>
      <c r="E72" s="36"/>
      <c r="F72" s="36"/>
      <c r="G72" s="35"/>
      <c r="H72" s="105"/>
      <c r="I72" s="105"/>
      <c r="J72" s="105"/>
      <c r="K72" s="106"/>
      <c r="L72" s="105"/>
      <c r="M72" s="105"/>
      <c r="N72" s="105"/>
      <c r="O72" s="105"/>
      <c r="P72" s="105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100"/>
      <c r="AY72" s="100"/>
      <c r="AZ72" s="100"/>
      <c r="BA72" s="100"/>
      <c r="BB72" s="100"/>
      <c r="BC72" s="100"/>
      <c r="BD72" s="100"/>
      <c r="BE72" s="100"/>
      <c r="BF72" s="100"/>
      <c r="BG72" s="100"/>
      <c r="BH72" s="100"/>
      <c r="BI72" s="100"/>
      <c r="BJ72" s="100"/>
      <c r="BK72" s="100"/>
      <c r="BL72" s="100"/>
      <c r="BM72" s="100"/>
      <c r="BN72" s="100"/>
      <c r="BO72" s="100"/>
      <c r="BP72" s="100"/>
      <c r="BQ72" s="100"/>
      <c r="BR72" s="100"/>
      <c r="BS72" s="100"/>
      <c r="BT72" s="100"/>
      <c r="BU72" s="100"/>
      <c r="BV72" s="100"/>
      <c r="BW72" s="100"/>
      <c r="BX72" s="100"/>
      <c r="BY72" s="100"/>
      <c r="BZ72" s="100"/>
      <c r="CA72" s="100"/>
      <c r="CB72" s="100"/>
      <c r="CC72" s="100"/>
      <c r="CD72" s="100"/>
      <c r="CE72" s="100"/>
      <c r="CF72" s="100"/>
      <c r="CG72" s="100"/>
      <c r="CH72" s="100"/>
      <c r="CI72" s="100"/>
      <c r="CJ72" s="100"/>
      <c r="CK72" s="100"/>
      <c r="CL72" s="100"/>
      <c r="CM72" s="100"/>
      <c r="CN72" s="100"/>
      <c r="CO72" s="100"/>
      <c r="CP72" s="100"/>
      <c r="CQ72" s="100"/>
      <c r="CR72" s="100"/>
      <c r="CS72" s="100"/>
      <c r="CT72" s="100"/>
      <c r="CU72" s="100"/>
      <c r="CV72" s="100"/>
    </row>
    <row r="73" spans="1:100" ht="15.75" x14ac:dyDescent="0.15">
      <c r="A73" s="33"/>
      <c r="B73" s="36"/>
      <c r="C73" s="36"/>
      <c r="D73" s="36"/>
      <c r="E73" s="36"/>
      <c r="F73" s="36"/>
      <c r="G73" s="35"/>
      <c r="H73" s="105"/>
      <c r="I73" s="105"/>
      <c r="J73" s="105"/>
      <c r="K73" s="106"/>
      <c r="L73" s="105"/>
      <c r="M73" s="105"/>
      <c r="N73" s="105"/>
      <c r="O73" s="105"/>
      <c r="P73" s="105"/>
      <c r="Q73" s="100"/>
      <c r="R73" s="100"/>
      <c r="S73" s="100"/>
      <c r="T73" s="100"/>
      <c r="U73" s="100"/>
      <c r="V73" s="100"/>
      <c r="W73" s="100"/>
      <c r="X73" s="100"/>
      <c r="Y73" s="100"/>
      <c r="Z73" s="100"/>
      <c r="AA73" s="100"/>
      <c r="AB73" s="100"/>
      <c r="AC73" s="100"/>
      <c r="AD73" s="100"/>
      <c r="AE73" s="100"/>
      <c r="AF73" s="100"/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100"/>
      <c r="AY73" s="100"/>
      <c r="AZ73" s="100"/>
      <c r="BA73" s="100"/>
      <c r="BB73" s="100"/>
      <c r="BC73" s="100"/>
      <c r="BD73" s="100"/>
      <c r="BE73" s="100"/>
      <c r="BF73" s="100"/>
      <c r="BG73" s="100"/>
      <c r="BH73" s="100"/>
      <c r="BI73" s="100"/>
      <c r="BJ73" s="100"/>
      <c r="BK73" s="100"/>
      <c r="BL73" s="100"/>
      <c r="BM73" s="100"/>
      <c r="BN73" s="100"/>
      <c r="BO73" s="100"/>
      <c r="BP73" s="100"/>
      <c r="BQ73" s="100"/>
      <c r="BR73" s="100"/>
      <c r="BS73" s="100"/>
      <c r="BT73" s="100"/>
      <c r="BU73" s="100"/>
      <c r="BV73" s="100"/>
      <c r="BW73" s="100"/>
      <c r="BX73" s="100"/>
      <c r="BY73" s="100"/>
      <c r="BZ73" s="100"/>
      <c r="CA73" s="100"/>
      <c r="CB73" s="100"/>
      <c r="CC73" s="100"/>
      <c r="CD73" s="100"/>
      <c r="CE73" s="100"/>
      <c r="CF73" s="100"/>
      <c r="CG73" s="100"/>
      <c r="CH73" s="100"/>
      <c r="CI73" s="100"/>
      <c r="CJ73" s="100"/>
      <c r="CK73" s="100"/>
      <c r="CL73" s="100"/>
      <c r="CM73" s="100"/>
      <c r="CN73" s="100"/>
      <c r="CO73" s="100"/>
      <c r="CP73" s="100"/>
      <c r="CQ73" s="100"/>
      <c r="CR73" s="100"/>
      <c r="CS73" s="100"/>
      <c r="CT73" s="100"/>
      <c r="CU73" s="100"/>
      <c r="CV73" s="100"/>
    </row>
    <row r="74" spans="1:100" ht="15.75" x14ac:dyDescent="0.15">
      <c r="A74" s="33"/>
      <c r="B74" s="36"/>
      <c r="C74" s="36"/>
      <c r="D74" s="36"/>
      <c r="E74" s="36"/>
      <c r="F74" s="36"/>
      <c r="G74" s="35"/>
      <c r="H74" s="105"/>
      <c r="I74" s="105"/>
      <c r="J74" s="105"/>
      <c r="K74" s="106"/>
      <c r="L74" s="105"/>
      <c r="M74" s="105"/>
      <c r="N74" s="105"/>
      <c r="O74" s="105"/>
      <c r="P74" s="105"/>
      <c r="Q74" s="100"/>
      <c r="R74" s="100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0"/>
      <c r="AE74" s="100"/>
      <c r="AF74" s="100"/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100"/>
      <c r="AY74" s="100"/>
      <c r="AZ74" s="100"/>
      <c r="BA74" s="100"/>
      <c r="BB74" s="100"/>
      <c r="BC74" s="100"/>
      <c r="BD74" s="100"/>
      <c r="BE74" s="100"/>
      <c r="BF74" s="100"/>
      <c r="BG74" s="100"/>
      <c r="BH74" s="100"/>
      <c r="BI74" s="100"/>
      <c r="BJ74" s="100"/>
      <c r="BK74" s="100"/>
      <c r="BL74" s="100"/>
      <c r="BM74" s="100"/>
      <c r="BN74" s="100"/>
      <c r="BO74" s="100"/>
      <c r="BP74" s="100"/>
      <c r="BQ74" s="100"/>
      <c r="BR74" s="100"/>
      <c r="BS74" s="100"/>
      <c r="BT74" s="100"/>
      <c r="BU74" s="100"/>
      <c r="BV74" s="100"/>
      <c r="BW74" s="100"/>
      <c r="BX74" s="100"/>
      <c r="BY74" s="100"/>
      <c r="BZ74" s="100"/>
      <c r="CA74" s="100"/>
      <c r="CB74" s="100"/>
      <c r="CC74" s="100"/>
      <c r="CD74" s="100"/>
      <c r="CE74" s="100"/>
      <c r="CF74" s="100"/>
      <c r="CG74" s="100"/>
      <c r="CH74" s="100"/>
      <c r="CI74" s="100"/>
      <c r="CJ74" s="100"/>
      <c r="CK74" s="100"/>
      <c r="CL74" s="100"/>
      <c r="CM74" s="100"/>
      <c r="CN74" s="100"/>
      <c r="CO74" s="100"/>
      <c r="CP74" s="100"/>
      <c r="CQ74" s="100"/>
      <c r="CR74" s="100"/>
      <c r="CS74" s="100"/>
      <c r="CT74" s="100"/>
      <c r="CU74" s="100"/>
      <c r="CV74" s="100"/>
    </row>
    <row r="75" spans="1:100" ht="15.75" x14ac:dyDescent="0.15">
      <c r="A75" s="33"/>
      <c r="B75" s="36"/>
      <c r="C75" s="36"/>
      <c r="D75" s="36"/>
      <c r="E75" s="36"/>
      <c r="F75" s="36"/>
      <c r="G75" s="35"/>
      <c r="H75" s="105"/>
      <c r="I75" s="105"/>
      <c r="J75" s="105"/>
      <c r="K75" s="106"/>
      <c r="L75" s="105"/>
      <c r="M75" s="105"/>
      <c r="N75" s="105"/>
      <c r="O75" s="105"/>
      <c r="P75" s="105"/>
      <c r="Q75" s="100"/>
      <c r="R75" s="100"/>
      <c r="S75" s="100"/>
      <c r="T75" s="100"/>
      <c r="U75" s="100"/>
      <c r="V75" s="100"/>
      <c r="W75" s="100"/>
      <c r="X75" s="100"/>
      <c r="Y75" s="100"/>
      <c r="Z75" s="100"/>
      <c r="AA75" s="100"/>
      <c r="AB75" s="100"/>
      <c r="AC75" s="100"/>
      <c r="AD75" s="100"/>
      <c r="AE75" s="100"/>
      <c r="AF75" s="100"/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100"/>
      <c r="AY75" s="100"/>
      <c r="AZ75" s="100"/>
      <c r="BA75" s="100"/>
      <c r="BB75" s="100"/>
      <c r="BC75" s="100"/>
      <c r="BD75" s="100"/>
      <c r="BE75" s="100"/>
      <c r="BF75" s="100"/>
      <c r="BG75" s="100"/>
      <c r="BH75" s="100"/>
      <c r="BI75" s="100"/>
      <c r="BJ75" s="100"/>
      <c r="BK75" s="100"/>
      <c r="BL75" s="100"/>
      <c r="BM75" s="100"/>
      <c r="BN75" s="100"/>
      <c r="BO75" s="100"/>
      <c r="BP75" s="100"/>
      <c r="BQ75" s="100"/>
      <c r="BR75" s="100"/>
      <c r="BS75" s="100"/>
      <c r="BT75" s="100"/>
      <c r="BU75" s="100"/>
      <c r="BV75" s="100"/>
      <c r="BW75" s="100"/>
      <c r="BX75" s="100"/>
      <c r="BY75" s="100"/>
      <c r="BZ75" s="100"/>
      <c r="CA75" s="100"/>
      <c r="CB75" s="100"/>
      <c r="CC75" s="100"/>
      <c r="CD75" s="100"/>
      <c r="CE75" s="100"/>
      <c r="CF75" s="100"/>
      <c r="CG75" s="100"/>
      <c r="CH75" s="100"/>
      <c r="CI75" s="100"/>
      <c r="CJ75" s="100"/>
      <c r="CK75" s="100"/>
      <c r="CL75" s="100"/>
      <c r="CM75" s="100"/>
      <c r="CN75" s="100"/>
      <c r="CO75" s="100"/>
      <c r="CP75" s="100"/>
      <c r="CQ75" s="100"/>
      <c r="CR75" s="100"/>
      <c r="CS75" s="100"/>
      <c r="CT75" s="100"/>
      <c r="CU75" s="100"/>
      <c r="CV75" s="100"/>
    </row>
    <row r="76" spans="1:100" ht="15.75" x14ac:dyDescent="0.15">
      <c r="A76" s="33"/>
      <c r="B76" s="36"/>
      <c r="C76" s="36"/>
      <c r="D76" s="36"/>
      <c r="E76" s="36"/>
      <c r="F76" s="36"/>
      <c r="G76" s="35"/>
      <c r="H76" s="105"/>
      <c r="I76" s="105"/>
      <c r="J76" s="105"/>
      <c r="K76" s="106"/>
      <c r="L76" s="105"/>
      <c r="M76" s="105"/>
      <c r="N76" s="105"/>
      <c r="O76" s="105"/>
      <c r="P76" s="105"/>
      <c r="Q76" s="100"/>
      <c r="R76" s="100"/>
      <c r="S76" s="100"/>
      <c r="T76" s="100"/>
      <c r="U76" s="100"/>
      <c r="V76" s="100"/>
      <c r="W76" s="100"/>
      <c r="X76" s="100"/>
      <c r="Y76" s="100"/>
      <c r="Z76" s="100"/>
      <c r="AA76" s="100"/>
      <c r="AB76" s="100"/>
      <c r="AC76" s="100"/>
      <c r="AD76" s="100"/>
      <c r="AE76" s="100"/>
      <c r="AF76" s="100"/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100"/>
      <c r="AY76" s="100"/>
      <c r="AZ76" s="100"/>
      <c r="BA76" s="100"/>
      <c r="BB76" s="100"/>
      <c r="BC76" s="100"/>
      <c r="BD76" s="100"/>
      <c r="BE76" s="100"/>
      <c r="BF76" s="100"/>
      <c r="BG76" s="100"/>
      <c r="BH76" s="100"/>
      <c r="BI76" s="100"/>
      <c r="BJ76" s="100"/>
      <c r="BK76" s="100"/>
      <c r="BL76" s="100"/>
      <c r="BM76" s="100"/>
      <c r="BN76" s="100"/>
      <c r="BO76" s="100"/>
      <c r="BP76" s="100"/>
      <c r="BQ76" s="100"/>
      <c r="BR76" s="100"/>
      <c r="BS76" s="100"/>
      <c r="BT76" s="100"/>
      <c r="BU76" s="100"/>
      <c r="BV76" s="100"/>
      <c r="BW76" s="100"/>
      <c r="BX76" s="100"/>
      <c r="BY76" s="100"/>
      <c r="BZ76" s="100"/>
      <c r="CA76" s="100"/>
      <c r="CB76" s="100"/>
      <c r="CC76" s="100"/>
      <c r="CD76" s="100"/>
      <c r="CE76" s="100"/>
      <c r="CF76" s="100"/>
      <c r="CG76" s="100"/>
      <c r="CH76" s="100"/>
      <c r="CI76" s="100"/>
      <c r="CJ76" s="100"/>
      <c r="CK76" s="100"/>
      <c r="CL76" s="100"/>
      <c r="CM76" s="100"/>
      <c r="CN76" s="100"/>
      <c r="CO76" s="100"/>
      <c r="CP76" s="100"/>
      <c r="CQ76" s="100"/>
      <c r="CR76" s="100"/>
      <c r="CS76" s="100"/>
      <c r="CT76" s="100"/>
      <c r="CU76" s="100"/>
      <c r="CV76" s="100"/>
    </row>
    <row r="77" spans="1:100" ht="15.75" x14ac:dyDescent="0.15">
      <c r="A77" s="33"/>
      <c r="B77" s="36"/>
      <c r="C77" s="36"/>
      <c r="D77" s="36"/>
      <c r="E77" s="36"/>
      <c r="F77" s="36"/>
      <c r="G77" s="35"/>
      <c r="H77" s="105"/>
      <c r="I77" s="105"/>
      <c r="J77" s="105"/>
      <c r="K77" s="106"/>
      <c r="L77" s="105"/>
      <c r="M77" s="105"/>
      <c r="N77" s="105"/>
      <c r="O77" s="105"/>
      <c r="P77" s="105"/>
      <c r="Q77" s="100"/>
      <c r="R77" s="100"/>
      <c r="S77" s="100"/>
      <c r="T77" s="100"/>
      <c r="U77" s="100"/>
      <c r="V77" s="100"/>
      <c r="W77" s="100"/>
      <c r="X77" s="100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100"/>
      <c r="AY77" s="100"/>
      <c r="AZ77" s="100"/>
      <c r="BA77" s="100"/>
      <c r="BB77" s="100"/>
      <c r="BC77" s="100"/>
      <c r="BD77" s="100"/>
      <c r="BE77" s="100"/>
      <c r="BF77" s="100"/>
      <c r="BG77" s="100"/>
      <c r="BH77" s="100"/>
      <c r="BI77" s="100"/>
      <c r="BJ77" s="100"/>
      <c r="BK77" s="100"/>
      <c r="BL77" s="100"/>
      <c r="BM77" s="100"/>
      <c r="BN77" s="100"/>
      <c r="BO77" s="100"/>
      <c r="BP77" s="100"/>
      <c r="BQ77" s="100"/>
      <c r="BR77" s="100"/>
      <c r="BS77" s="100"/>
      <c r="BT77" s="100"/>
      <c r="BU77" s="100"/>
      <c r="BV77" s="100"/>
      <c r="BW77" s="100"/>
      <c r="BX77" s="100"/>
      <c r="BY77" s="100"/>
      <c r="BZ77" s="100"/>
      <c r="CA77" s="100"/>
      <c r="CB77" s="100"/>
      <c r="CC77" s="100"/>
      <c r="CD77" s="100"/>
      <c r="CE77" s="100"/>
      <c r="CF77" s="100"/>
      <c r="CG77" s="100"/>
      <c r="CH77" s="100"/>
      <c r="CI77" s="100"/>
      <c r="CJ77" s="100"/>
      <c r="CK77" s="100"/>
      <c r="CL77" s="100"/>
      <c r="CM77" s="100"/>
      <c r="CN77" s="100"/>
      <c r="CO77" s="100"/>
      <c r="CP77" s="100"/>
      <c r="CQ77" s="100"/>
      <c r="CR77" s="100"/>
      <c r="CS77" s="100"/>
      <c r="CT77" s="100"/>
      <c r="CU77" s="100"/>
      <c r="CV77" s="100"/>
    </row>
    <row r="78" spans="1:100" ht="15.75" x14ac:dyDescent="0.15">
      <c r="A78" s="33"/>
      <c r="B78" s="36"/>
      <c r="C78" s="36"/>
      <c r="D78" s="36"/>
      <c r="E78" s="36"/>
      <c r="F78" s="36"/>
      <c r="G78" s="35"/>
      <c r="H78" s="105"/>
      <c r="I78" s="105"/>
      <c r="J78" s="105"/>
      <c r="K78" s="106"/>
      <c r="L78" s="105"/>
      <c r="M78" s="105"/>
      <c r="N78" s="105"/>
      <c r="O78" s="105"/>
      <c r="P78" s="105"/>
      <c r="Q78" s="100"/>
      <c r="R78" s="100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100"/>
      <c r="AY78" s="100"/>
      <c r="AZ78" s="100"/>
      <c r="BA78" s="100"/>
      <c r="BB78" s="100"/>
      <c r="BC78" s="100"/>
      <c r="BD78" s="100"/>
      <c r="BE78" s="100"/>
      <c r="BF78" s="100"/>
      <c r="BG78" s="100"/>
      <c r="BH78" s="100"/>
      <c r="BI78" s="100"/>
      <c r="BJ78" s="100"/>
      <c r="BK78" s="100"/>
      <c r="BL78" s="100"/>
      <c r="BM78" s="100"/>
      <c r="BN78" s="100"/>
      <c r="BO78" s="100"/>
      <c r="BP78" s="100"/>
      <c r="BQ78" s="100"/>
      <c r="BR78" s="100"/>
      <c r="BS78" s="100"/>
      <c r="BT78" s="100"/>
      <c r="BU78" s="100"/>
      <c r="BV78" s="100"/>
      <c r="BW78" s="100"/>
      <c r="BX78" s="100"/>
      <c r="BY78" s="100"/>
      <c r="BZ78" s="100"/>
      <c r="CA78" s="100"/>
      <c r="CB78" s="100"/>
      <c r="CC78" s="100"/>
      <c r="CD78" s="100"/>
      <c r="CE78" s="100"/>
      <c r="CF78" s="100"/>
      <c r="CG78" s="100"/>
      <c r="CH78" s="100"/>
      <c r="CI78" s="100"/>
      <c r="CJ78" s="100"/>
      <c r="CK78" s="100"/>
      <c r="CL78" s="100"/>
      <c r="CM78" s="100"/>
      <c r="CN78" s="100"/>
      <c r="CO78" s="100"/>
      <c r="CP78" s="100"/>
      <c r="CQ78" s="100"/>
      <c r="CR78" s="100"/>
      <c r="CS78" s="100"/>
      <c r="CT78" s="100"/>
      <c r="CU78" s="100"/>
      <c r="CV78" s="100"/>
    </row>
    <row r="79" spans="1:100" ht="15.75" x14ac:dyDescent="0.15">
      <c r="A79" s="33"/>
      <c r="B79" s="36"/>
      <c r="C79" s="36"/>
      <c r="D79" s="36"/>
      <c r="E79" s="36"/>
      <c r="F79" s="36"/>
      <c r="G79" s="35"/>
      <c r="H79" s="105"/>
      <c r="I79" s="105"/>
      <c r="J79" s="105"/>
      <c r="K79" s="106"/>
      <c r="L79" s="105"/>
      <c r="M79" s="105"/>
      <c r="N79" s="105"/>
      <c r="O79" s="105"/>
      <c r="P79" s="105"/>
      <c r="Q79" s="100"/>
      <c r="R79" s="100"/>
      <c r="S79" s="100"/>
      <c r="T79" s="100"/>
      <c r="U79" s="100"/>
      <c r="V79" s="100"/>
      <c r="W79" s="100"/>
      <c r="X79" s="100"/>
      <c r="Y79" s="100"/>
      <c r="Z79" s="100"/>
      <c r="AA79" s="100"/>
      <c r="AB79" s="100"/>
      <c r="AC79" s="100"/>
      <c r="AD79" s="100"/>
      <c r="AE79" s="100"/>
      <c r="AF79" s="100"/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100"/>
      <c r="AY79" s="100"/>
      <c r="AZ79" s="100"/>
      <c r="BA79" s="100"/>
      <c r="BB79" s="100"/>
      <c r="BC79" s="100"/>
      <c r="BD79" s="100"/>
      <c r="BE79" s="100"/>
      <c r="BF79" s="100"/>
      <c r="BG79" s="100"/>
      <c r="BH79" s="100"/>
      <c r="BI79" s="100"/>
      <c r="BJ79" s="100"/>
      <c r="BK79" s="100"/>
      <c r="BL79" s="100"/>
      <c r="BM79" s="100"/>
      <c r="BN79" s="100"/>
      <c r="BO79" s="100"/>
      <c r="BP79" s="100"/>
      <c r="BQ79" s="100"/>
      <c r="BR79" s="100"/>
      <c r="BS79" s="100"/>
      <c r="BT79" s="100"/>
      <c r="BU79" s="100"/>
      <c r="BV79" s="100"/>
      <c r="BW79" s="100"/>
      <c r="BX79" s="100"/>
      <c r="BY79" s="100"/>
      <c r="BZ79" s="100"/>
      <c r="CA79" s="100"/>
      <c r="CB79" s="100"/>
      <c r="CC79" s="100"/>
      <c r="CD79" s="100"/>
      <c r="CE79" s="100"/>
      <c r="CF79" s="100"/>
      <c r="CG79" s="100"/>
      <c r="CH79" s="100"/>
      <c r="CI79" s="100"/>
      <c r="CJ79" s="100"/>
      <c r="CK79" s="100"/>
      <c r="CL79" s="100"/>
      <c r="CM79" s="100"/>
      <c r="CN79" s="100"/>
      <c r="CO79" s="100"/>
      <c r="CP79" s="100"/>
      <c r="CQ79" s="100"/>
      <c r="CR79" s="100"/>
      <c r="CS79" s="100"/>
      <c r="CT79" s="100"/>
      <c r="CU79" s="100"/>
      <c r="CV79" s="100"/>
    </row>
    <row r="80" spans="1:100" ht="15.75" x14ac:dyDescent="0.15">
      <c r="A80" s="33"/>
      <c r="B80" s="36"/>
      <c r="C80" s="36"/>
      <c r="D80" s="36"/>
      <c r="E80" s="36"/>
      <c r="F80" s="36"/>
      <c r="G80" s="35"/>
      <c r="H80" s="105"/>
      <c r="I80" s="105"/>
      <c r="J80" s="105"/>
      <c r="K80" s="106"/>
      <c r="L80" s="105"/>
      <c r="M80" s="105"/>
      <c r="N80" s="105"/>
      <c r="O80" s="105"/>
      <c r="P80" s="105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100"/>
      <c r="AY80" s="100"/>
      <c r="AZ80" s="100"/>
      <c r="BA80" s="100"/>
      <c r="BB80" s="100"/>
      <c r="BC80" s="100"/>
      <c r="BD80" s="100"/>
      <c r="BE80" s="100"/>
      <c r="BF80" s="100"/>
      <c r="BG80" s="100"/>
      <c r="BH80" s="100"/>
      <c r="BI80" s="100"/>
      <c r="BJ80" s="100"/>
      <c r="BK80" s="100"/>
      <c r="BL80" s="100"/>
      <c r="BM80" s="100"/>
      <c r="BN80" s="100"/>
      <c r="BO80" s="100"/>
      <c r="BP80" s="100"/>
      <c r="BQ80" s="100"/>
      <c r="BR80" s="100"/>
      <c r="BS80" s="100"/>
      <c r="BT80" s="100"/>
      <c r="BU80" s="100"/>
      <c r="BV80" s="100"/>
      <c r="BW80" s="100"/>
      <c r="BX80" s="100"/>
      <c r="BY80" s="100"/>
      <c r="BZ80" s="100"/>
      <c r="CA80" s="100"/>
      <c r="CB80" s="100"/>
      <c r="CC80" s="100"/>
      <c r="CD80" s="100"/>
      <c r="CE80" s="100"/>
      <c r="CF80" s="100"/>
      <c r="CG80" s="100"/>
      <c r="CH80" s="100"/>
      <c r="CI80" s="100"/>
      <c r="CJ80" s="100"/>
      <c r="CK80" s="100"/>
      <c r="CL80" s="100"/>
      <c r="CM80" s="100"/>
      <c r="CN80" s="100"/>
      <c r="CO80" s="100"/>
      <c r="CP80" s="100"/>
      <c r="CQ80" s="100"/>
      <c r="CR80" s="100"/>
      <c r="CS80" s="100"/>
      <c r="CT80" s="100"/>
      <c r="CU80" s="100"/>
      <c r="CV80" s="100"/>
    </row>
    <row r="81" spans="1:100" ht="15.75" x14ac:dyDescent="0.15">
      <c r="A81" s="33"/>
      <c r="B81" s="36"/>
      <c r="C81" s="36"/>
      <c r="D81" s="36"/>
      <c r="E81" s="36"/>
      <c r="F81" s="36"/>
      <c r="G81" s="35"/>
      <c r="H81" s="105"/>
      <c r="I81" s="105"/>
      <c r="J81" s="105"/>
      <c r="K81" s="106"/>
      <c r="L81" s="105"/>
      <c r="M81" s="105"/>
      <c r="N81" s="105"/>
      <c r="O81" s="105"/>
      <c r="P81" s="105"/>
      <c r="Q81" s="100"/>
      <c r="R81" s="100"/>
      <c r="S81" s="100"/>
      <c r="T81" s="100"/>
      <c r="U81" s="100"/>
      <c r="V81" s="100"/>
      <c r="W81" s="100"/>
      <c r="X81" s="100"/>
      <c r="Y81" s="100"/>
      <c r="Z81" s="100"/>
      <c r="AA81" s="100"/>
      <c r="AB81" s="100"/>
      <c r="AC81" s="100"/>
      <c r="AD81" s="100"/>
      <c r="AE81" s="100"/>
      <c r="AF81" s="100"/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100"/>
      <c r="AY81" s="100"/>
      <c r="AZ81" s="100"/>
      <c r="BA81" s="100"/>
      <c r="BB81" s="100"/>
      <c r="BC81" s="100"/>
      <c r="BD81" s="100"/>
      <c r="BE81" s="100"/>
      <c r="BF81" s="100"/>
      <c r="BG81" s="100"/>
      <c r="BH81" s="100"/>
      <c r="BI81" s="100"/>
      <c r="BJ81" s="100"/>
      <c r="BK81" s="100"/>
      <c r="BL81" s="100"/>
      <c r="BM81" s="100"/>
      <c r="BN81" s="100"/>
      <c r="BO81" s="100"/>
      <c r="BP81" s="100"/>
      <c r="BQ81" s="100"/>
      <c r="BR81" s="100"/>
      <c r="BS81" s="100"/>
      <c r="BT81" s="100"/>
      <c r="BU81" s="100"/>
      <c r="BV81" s="100"/>
      <c r="BW81" s="100"/>
      <c r="BX81" s="100"/>
      <c r="BY81" s="100"/>
      <c r="BZ81" s="100"/>
      <c r="CA81" s="100"/>
      <c r="CB81" s="100"/>
      <c r="CC81" s="100"/>
      <c r="CD81" s="100"/>
      <c r="CE81" s="100"/>
      <c r="CF81" s="100"/>
      <c r="CG81" s="100"/>
      <c r="CH81" s="100"/>
      <c r="CI81" s="100"/>
      <c r="CJ81" s="100"/>
      <c r="CK81" s="100"/>
      <c r="CL81" s="100"/>
      <c r="CM81" s="100"/>
      <c r="CN81" s="100"/>
      <c r="CO81" s="100"/>
      <c r="CP81" s="100"/>
      <c r="CQ81" s="100"/>
      <c r="CR81" s="100"/>
      <c r="CS81" s="100"/>
      <c r="CT81" s="100"/>
      <c r="CU81" s="100"/>
      <c r="CV81" s="100"/>
    </row>
    <row r="82" spans="1:100" ht="15.75" x14ac:dyDescent="0.15">
      <c r="A82" s="33"/>
      <c r="B82" s="36"/>
      <c r="C82" s="36"/>
      <c r="D82" s="36"/>
      <c r="E82" s="36"/>
      <c r="F82" s="36"/>
      <c r="G82" s="35"/>
      <c r="H82" s="105"/>
      <c r="I82" s="105"/>
      <c r="J82" s="105"/>
      <c r="K82" s="106"/>
      <c r="L82" s="105"/>
      <c r="M82" s="105"/>
      <c r="N82" s="105"/>
      <c r="O82" s="105"/>
      <c r="P82" s="105"/>
      <c r="Q82" s="100"/>
      <c r="R82" s="100"/>
      <c r="S82" s="100"/>
      <c r="T82" s="100"/>
      <c r="U82" s="100"/>
      <c r="V82" s="100"/>
      <c r="W82" s="100"/>
      <c r="X82" s="100"/>
      <c r="Y82" s="100"/>
      <c r="Z82" s="100"/>
      <c r="AA82" s="100"/>
      <c r="AB82" s="100"/>
      <c r="AC82" s="100"/>
      <c r="AD82" s="100"/>
      <c r="AE82" s="100"/>
      <c r="AF82" s="100"/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100"/>
      <c r="AY82" s="100"/>
      <c r="AZ82" s="100"/>
      <c r="BA82" s="100"/>
      <c r="BB82" s="100"/>
      <c r="BC82" s="100"/>
      <c r="BD82" s="100"/>
      <c r="BE82" s="100"/>
      <c r="BF82" s="100"/>
      <c r="BG82" s="100"/>
      <c r="BH82" s="100"/>
      <c r="BI82" s="100"/>
      <c r="BJ82" s="100"/>
      <c r="BK82" s="100"/>
      <c r="BL82" s="100"/>
      <c r="BM82" s="100"/>
      <c r="BN82" s="100"/>
      <c r="BO82" s="100"/>
      <c r="BP82" s="100"/>
      <c r="BQ82" s="100"/>
      <c r="BR82" s="100"/>
      <c r="BS82" s="100"/>
      <c r="BT82" s="100"/>
      <c r="BU82" s="100"/>
      <c r="BV82" s="100"/>
      <c r="BW82" s="100"/>
      <c r="BX82" s="100"/>
      <c r="BY82" s="100"/>
      <c r="BZ82" s="100"/>
      <c r="CA82" s="100"/>
      <c r="CB82" s="100"/>
      <c r="CC82" s="100"/>
      <c r="CD82" s="100"/>
      <c r="CE82" s="100"/>
      <c r="CF82" s="100"/>
      <c r="CG82" s="100"/>
      <c r="CH82" s="100"/>
      <c r="CI82" s="100"/>
      <c r="CJ82" s="100"/>
      <c r="CK82" s="100"/>
      <c r="CL82" s="100"/>
      <c r="CM82" s="100"/>
      <c r="CN82" s="100"/>
      <c r="CO82" s="100"/>
      <c r="CP82" s="100"/>
      <c r="CQ82" s="100"/>
      <c r="CR82" s="100"/>
      <c r="CS82" s="100"/>
      <c r="CT82" s="100"/>
      <c r="CU82" s="100"/>
      <c r="CV82" s="100"/>
    </row>
    <row r="83" spans="1:100" ht="15.75" x14ac:dyDescent="0.15">
      <c r="A83" s="33"/>
      <c r="B83" s="36"/>
      <c r="C83" s="36"/>
      <c r="D83" s="36"/>
      <c r="E83" s="36"/>
      <c r="F83" s="36"/>
      <c r="G83" s="35"/>
      <c r="H83" s="105"/>
      <c r="I83" s="105"/>
      <c r="J83" s="105"/>
      <c r="K83" s="106"/>
      <c r="L83" s="105"/>
      <c r="M83" s="105"/>
      <c r="N83" s="105"/>
      <c r="O83" s="105"/>
      <c r="P83" s="105"/>
      <c r="Q83" s="100"/>
      <c r="R83" s="100"/>
      <c r="S83" s="100"/>
      <c r="T83" s="100"/>
      <c r="U83" s="100"/>
      <c r="V83" s="100"/>
      <c r="W83" s="100"/>
      <c r="X83" s="100"/>
      <c r="Y83" s="100"/>
      <c r="Z83" s="100"/>
      <c r="AA83" s="100"/>
      <c r="AB83" s="100"/>
      <c r="AC83" s="100"/>
      <c r="AD83" s="100"/>
      <c r="AE83" s="100"/>
      <c r="AF83" s="100"/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100"/>
      <c r="AY83" s="100"/>
      <c r="AZ83" s="100"/>
      <c r="BA83" s="100"/>
      <c r="BB83" s="100"/>
      <c r="BC83" s="100"/>
      <c r="BD83" s="100"/>
      <c r="BE83" s="100"/>
      <c r="BF83" s="100"/>
      <c r="BG83" s="100"/>
      <c r="BH83" s="100"/>
      <c r="BI83" s="100"/>
      <c r="BJ83" s="100"/>
      <c r="BK83" s="100"/>
      <c r="BL83" s="100"/>
      <c r="BM83" s="100"/>
      <c r="BN83" s="100"/>
      <c r="BO83" s="100"/>
      <c r="BP83" s="100"/>
      <c r="BQ83" s="100"/>
      <c r="BR83" s="100"/>
      <c r="BS83" s="100"/>
      <c r="BT83" s="100"/>
      <c r="BU83" s="100"/>
      <c r="BV83" s="100"/>
      <c r="BW83" s="100"/>
      <c r="BX83" s="100"/>
      <c r="BY83" s="100"/>
      <c r="BZ83" s="100"/>
      <c r="CA83" s="100"/>
      <c r="CB83" s="100"/>
      <c r="CC83" s="100"/>
      <c r="CD83" s="100"/>
      <c r="CE83" s="100"/>
      <c r="CF83" s="100"/>
      <c r="CG83" s="100"/>
      <c r="CH83" s="100"/>
      <c r="CI83" s="100"/>
      <c r="CJ83" s="100"/>
      <c r="CK83" s="100"/>
      <c r="CL83" s="100"/>
      <c r="CM83" s="100"/>
      <c r="CN83" s="100"/>
      <c r="CO83" s="100"/>
      <c r="CP83" s="100"/>
      <c r="CQ83" s="100"/>
      <c r="CR83" s="100"/>
      <c r="CS83" s="100"/>
      <c r="CT83" s="100"/>
      <c r="CU83" s="100"/>
      <c r="CV83" s="100"/>
    </row>
    <row r="84" spans="1:100" ht="15.75" x14ac:dyDescent="0.15">
      <c r="A84" s="33"/>
      <c r="B84" s="36"/>
      <c r="C84" s="36"/>
      <c r="D84" s="36"/>
      <c r="E84" s="36"/>
      <c r="F84" s="36"/>
      <c r="G84" s="35"/>
      <c r="H84" s="105"/>
      <c r="I84" s="105"/>
      <c r="J84" s="105"/>
      <c r="K84" s="106"/>
      <c r="L84" s="105"/>
      <c r="M84" s="105"/>
      <c r="N84" s="105"/>
      <c r="O84" s="105"/>
      <c r="P84" s="105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00"/>
      <c r="AC84" s="100"/>
      <c r="AD84" s="100"/>
      <c r="AE84" s="100"/>
      <c r="AF84" s="100"/>
      <c r="AG84" s="100"/>
      <c r="AH84" s="100"/>
      <c r="AI84" s="100"/>
      <c r="AJ84" s="100"/>
      <c r="AK84" s="100"/>
      <c r="AL84" s="100"/>
      <c r="AM84" s="100"/>
      <c r="AN84" s="100"/>
      <c r="AO84" s="100"/>
      <c r="AP84" s="100"/>
      <c r="AQ84" s="100"/>
      <c r="AR84" s="100"/>
      <c r="AS84" s="100"/>
      <c r="AT84" s="100"/>
      <c r="AU84" s="100"/>
      <c r="AV84" s="100"/>
      <c r="AW84" s="100"/>
      <c r="AX84" s="100"/>
      <c r="AY84" s="100"/>
      <c r="AZ84" s="100"/>
      <c r="BA84" s="100"/>
      <c r="BB84" s="100"/>
      <c r="BC84" s="100"/>
      <c r="BD84" s="100"/>
      <c r="BE84" s="100"/>
      <c r="BF84" s="100"/>
      <c r="BG84" s="100"/>
      <c r="BH84" s="100"/>
      <c r="BI84" s="100"/>
      <c r="BJ84" s="100"/>
      <c r="BK84" s="100"/>
      <c r="BL84" s="100"/>
      <c r="BM84" s="100"/>
      <c r="BN84" s="100"/>
      <c r="BO84" s="100"/>
      <c r="BP84" s="100"/>
      <c r="BQ84" s="100"/>
      <c r="BR84" s="100"/>
      <c r="BS84" s="100"/>
      <c r="BT84" s="100"/>
      <c r="BU84" s="100"/>
      <c r="BV84" s="100"/>
      <c r="BW84" s="100"/>
      <c r="BX84" s="100"/>
      <c r="BY84" s="100"/>
      <c r="BZ84" s="100"/>
      <c r="CA84" s="100"/>
      <c r="CB84" s="100"/>
      <c r="CC84" s="100"/>
      <c r="CD84" s="100"/>
      <c r="CE84" s="100"/>
      <c r="CF84" s="100"/>
      <c r="CG84" s="100"/>
      <c r="CH84" s="100"/>
      <c r="CI84" s="100"/>
      <c r="CJ84" s="100"/>
      <c r="CK84" s="100"/>
      <c r="CL84" s="100"/>
      <c r="CM84" s="100"/>
      <c r="CN84" s="100"/>
      <c r="CO84" s="100"/>
      <c r="CP84" s="100"/>
      <c r="CQ84" s="100"/>
      <c r="CR84" s="100"/>
      <c r="CS84" s="100"/>
      <c r="CT84" s="100"/>
      <c r="CU84" s="100"/>
      <c r="CV84" s="100"/>
    </row>
    <row r="85" spans="1:100" ht="15.75" x14ac:dyDescent="0.15">
      <c r="A85" s="33"/>
      <c r="B85" s="36"/>
      <c r="C85" s="36"/>
      <c r="D85" s="36"/>
      <c r="E85" s="36"/>
      <c r="F85" s="36"/>
      <c r="G85" s="35"/>
      <c r="H85" s="105"/>
      <c r="I85" s="105"/>
      <c r="J85" s="105"/>
      <c r="K85" s="106"/>
      <c r="L85" s="105"/>
      <c r="M85" s="105"/>
      <c r="N85" s="105"/>
      <c r="O85" s="105"/>
      <c r="P85" s="105"/>
      <c r="Q85" s="100"/>
      <c r="R85" s="100"/>
      <c r="S85" s="100"/>
      <c r="T85" s="100"/>
      <c r="U85" s="100"/>
      <c r="V85" s="100"/>
      <c r="W85" s="100"/>
      <c r="X85" s="100"/>
      <c r="Y85" s="100"/>
      <c r="Z85" s="100"/>
      <c r="AA85" s="100"/>
      <c r="AB85" s="100"/>
      <c r="AC85" s="100"/>
      <c r="AD85" s="100"/>
      <c r="AE85" s="100"/>
      <c r="AF85" s="100"/>
      <c r="AG85" s="100"/>
      <c r="AH85" s="100"/>
      <c r="AI85" s="100"/>
      <c r="AJ85" s="100"/>
      <c r="AK85" s="100"/>
      <c r="AL85" s="100"/>
      <c r="AM85" s="100"/>
      <c r="AN85" s="100"/>
      <c r="AO85" s="100"/>
      <c r="AP85" s="100"/>
      <c r="AQ85" s="100"/>
      <c r="AR85" s="100"/>
      <c r="AS85" s="100"/>
      <c r="AT85" s="100"/>
      <c r="AU85" s="100"/>
      <c r="AV85" s="100"/>
      <c r="AW85" s="100"/>
      <c r="AX85" s="100"/>
      <c r="AY85" s="100"/>
      <c r="AZ85" s="100"/>
      <c r="BA85" s="100"/>
      <c r="BB85" s="100"/>
      <c r="BC85" s="100"/>
      <c r="BD85" s="100"/>
      <c r="BE85" s="100"/>
      <c r="BF85" s="100"/>
      <c r="BG85" s="100"/>
      <c r="BH85" s="100"/>
      <c r="BI85" s="100"/>
      <c r="BJ85" s="100"/>
      <c r="BK85" s="100"/>
      <c r="BL85" s="100"/>
      <c r="BM85" s="100"/>
      <c r="BN85" s="100"/>
      <c r="BO85" s="100"/>
      <c r="BP85" s="100"/>
      <c r="BQ85" s="100"/>
      <c r="BR85" s="100"/>
      <c r="BS85" s="100"/>
      <c r="BT85" s="100"/>
      <c r="BU85" s="100"/>
      <c r="BV85" s="100"/>
      <c r="BW85" s="100"/>
      <c r="BX85" s="100"/>
      <c r="BY85" s="100"/>
      <c r="BZ85" s="100"/>
      <c r="CA85" s="100"/>
      <c r="CB85" s="100"/>
      <c r="CC85" s="100"/>
      <c r="CD85" s="100"/>
      <c r="CE85" s="100"/>
      <c r="CF85" s="100"/>
      <c r="CG85" s="100"/>
      <c r="CH85" s="100"/>
      <c r="CI85" s="100"/>
      <c r="CJ85" s="100"/>
      <c r="CK85" s="100"/>
      <c r="CL85" s="100"/>
      <c r="CM85" s="100"/>
      <c r="CN85" s="100"/>
      <c r="CO85" s="100"/>
      <c r="CP85" s="100"/>
      <c r="CQ85" s="100"/>
      <c r="CR85" s="100"/>
      <c r="CS85" s="100"/>
      <c r="CT85" s="100"/>
      <c r="CU85" s="100"/>
      <c r="CV85" s="100"/>
    </row>
    <row r="86" spans="1:100" ht="15.75" x14ac:dyDescent="0.15">
      <c r="A86" s="33"/>
      <c r="B86" s="36"/>
      <c r="C86" s="36"/>
      <c r="D86" s="36"/>
      <c r="E86" s="36"/>
      <c r="F86" s="36"/>
      <c r="G86" s="35"/>
      <c r="H86" s="105"/>
      <c r="I86" s="105"/>
      <c r="J86" s="105"/>
      <c r="K86" s="106"/>
      <c r="L86" s="105"/>
      <c r="M86" s="105"/>
      <c r="N86" s="105"/>
      <c r="O86" s="105"/>
      <c r="P86" s="105"/>
      <c r="Q86" s="100"/>
      <c r="R86" s="100"/>
      <c r="S86" s="100"/>
      <c r="T86" s="100"/>
      <c r="U86" s="100"/>
      <c r="V86" s="100"/>
      <c r="W86" s="100"/>
      <c r="X86" s="100"/>
      <c r="Y86" s="100"/>
      <c r="Z86" s="100"/>
      <c r="AA86" s="100"/>
      <c r="AB86" s="100"/>
      <c r="AC86" s="100"/>
      <c r="AD86" s="100"/>
      <c r="AE86" s="100"/>
      <c r="AF86" s="100"/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100"/>
      <c r="AY86" s="100"/>
      <c r="AZ86" s="100"/>
      <c r="BA86" s="100"/>
      <c r="BB86" s="100"/>
      <c r="BC86" s="100"/>
      <c r="BD86" s="100"/>
      <c r="BE86" s="100"/>
      <c r="BF86" s="100"/>
      <c r="BG86" s="100"/>
      <c r="BH86" s="100"/>
      <c r="BI86" s="100"/>
      <c r="BJ86" s="100"/>
      <c r="BK86" s="100"/>
      <c r="BL86" s="100"/>
      <c r="BM86" s="100"/>
      <c r="BN86" s="100"/>
      <c r="BO86" s="100"/>
      <c r="BP86" s="100"/>
      <c r="BQ86" s="100"/>
      <c r="BR86" s="100"/>
      <c r="BS86" s="100"/>
      <c r="BT86" s="100"/>
      <c r="BU86" s="100"/>
      <c r="BV86" s="100"/>
      <c r="BW86" s="100"/>
      <c r="BX86" s="100"/>
      <c r="BY86" s="100"/>
      <c r="BZ86" s="100"/>
      <c r="CA86" s="100"/>
      <c r="CB86" s="100"/>
      <c r="CC86" s="100"/>
      <c r="CD86" s="100"/>
      <c r="CE86" s="100"/>
      <c r="CF86" s="100"/>
      <c r="CG86" s="100"/>
      <c r="CH86" s="100"/>
      <c r="CI86" s="100"/>
      <c r="CJ86" s="100"/>
      <c r="CK86" s="100"/>
      <c r="CL86" s="100"/>
      <c r="CM86" s="100"/>
      <c r="CN86" s="100"/>
      <c r="CO86" s="100"/>
      <c r="CP86" s="100"/>
      <c r="CQ86" s="100"/>
      <c r="CR86" s="100"/>
      <c r="CS86" s="100"/>
      <c r="CT86" s="100"/>
      <c r="CU86" s="100"/>
      <c r="CV86" s="100"/>
    </row>
    <row r="87" spans="1:100" ht="15.75" x14ac:dyDescent="0.15">
      <c r="A87" s="33"/>
      <c r="B87" s="36"/>
      <c r="C87" s="36"/>
      <c r="D87" s="36"/>
      <c r="E87" s="36"/>
      <c r="F87" s="36"/>
      <c r="G87" s="35"/>
      <c r="H87" s="105"/>
      <c r="I87" s="105"/>
      <c r="J87" s="105"/>
      <c r="K87" s="106"/>
      <c r="L87" s="105"/>
      <c r="M87" s="105"/>
      <c r="N87" s="105"/>
      <c r="O87" s="105"/>
      <c r="P87" s="105"/>
      <c r="Q87" s="100"/>
      <c r="R87" s="100"/>
      <c r="S87" s="100"/>
      <c r="T87" s="100"/>
      <c r="U87" s="100"/>
      <c r="V87" s="100"/>
      <c r="W87" s="100"/>
      <c r="X87" s="100"/>
      <c r="Y87" s="100"/>
      <c r="Z87" s="100"/>
      <c r="AA87" s="100"/>
      <c r="AB87" s="100"/>
      <c r="AC87" s="100"/>
      <c r="AD87" s="100"/>
      <c r="AE87" s="100"/>
      <c r="AF87" s="100"/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100"/>
      <c r="AY87" s="100"/>
      <c r="AZ87" s="100"/>
      <c r="BA87" s="100"/>
      <c r="BB87" s="100"/>
      <c r="BC87" s="100"/>
      <c r="BD87" s="100"/>
      <c r="BE87" s="100"/>
      <c r="BF87" s="100"/>
      <c r="BG87" s="100"/>
      <c r="BH87" s="100"/>
      <c r="BI87" s="100"/>
      <c r="BJ87" s="100"/>
      <c r="BK87" s="100"/>
      <c r="BL87" s="100"/>
      <c r="BM87" s="100"/>
      <c r="BN87" s="100"/>
      <c r="BO87" s="100"/>
      <c r="BP87" s="100"/>
      <c r="BQ87" s="100"/>
      <c r="BR87" s="100"/>
      <c r="BS87" s="100"/>
      <c r="BT87" s="100"/>
      <c r="BU87" s="100"/>
      <c r="BV87" s="100"/>
      <c r="BW87" s="100"/>
      <c r="BX87" s="100"/>
      <c r="BY87" s="100"/>
      <c r="BZ87" s="100"/>
      <c r="CA87" s="100"/>
      <c r="CB87" s="100"/>
      <c r="CC87" s="100"/>
      <c r="CD87" s="100"/>
      <c r="CE87" s="100"/>
      <c r="CF87" s="100"/>
      <c r="CG87" s="100"/>
      <c r="CH87" s="100"/>
      <c r="CI87" s="100"/>
      <c r="CJ87" s="100"/>
      <c r="CK87" s="100"/>
      <c r="CL87" s="100"/>
      <c r="CM87" s="100"/>
      <c r="CN87" s="100"/>
      <c r="CO87" s="100"/>
      <c r="CP87" s="100"/>
      <c r="CQ87" s="100"/>
      <c r="CR87" s="100"/>
      <c r="CS87" s="100"/>
      <c r="CT87" s="100"/>
      <c r="CU87" s="100"/>
      <c r="CV87" s="100"/>
    </row>
    <row r="88" spans="1:100" ht="15.75" x14ac:dyDescent="0.15">
      <c r="A88" s="33"/>
      <c r="B88" s="36"/>
      <c r="C88" s="36"/>
      <c r="D88" s="36"/>
      <c r="E88" s="36"/>
      <c r="F88" s="36"/>
      <c r="G88" s="35"/>
      <c r="H88" s="105"/>
      <c r="I88" s="105"/>
      <c r="J88" s="105"/>
      <c r="K88" s="106"/>
      <c r="L88" s="105"/>
      <c r="M88" s="105"/>
      <c r="N88" s="105"/>
      <c r="O88" s="105"/>
      <c r="P88" s="105"/>
      <c r="Q88" s="100"/>
      <c r="R88" s="100"/>
      <c r="S88" s="100"/>
      <c r="T88" s="100"/>
      <c r="U88" s="100"/>
      <c r="V88" s="100"/>
      <c r="W88" s="100"/>
      <c r="X88" s="100"/>
      <c r="Y88" s="100"/>
      <c r="Z88" s="100"/>
      <c r="AA88" s="100"/>
      <c r="AB88" s="100"/>
      <c r="AC88" s="100"/>
      <c r="AD88" s="100"/>
      <c r="AE88" s="100"/>
      <c r="AF88" s="100"/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100"/>
      <c r="AY88" s="100"/>
      <c r="AZ88" s="100"/>
      <c r="BA88" s="100"/>
      <c r="BB88" s="100"/>
      <c r="BC88" s="100"/>
      <c r="BD88" s="100"/>
      <c r="BE88" s="100"/>
      <c r="BF88" s="100"/>
      <c r="BG88" s="100"/>
      <c r="BH88" s="100"/>
      <c r="BI88" s="100"/>
      <c r="BJ88" s="100"/>
      <c r="BK88" s="100"/>
      <c r="BL88" s="100"/>
      <c r="BM88" s="100"/>
      <c r="BN88" s="100"/>
      <c r="BO88" s="100"/>
      <c r="BP88" s="100"/>
      <c r="BQ88" s="100"/>
      <c r="BR88" s="100"/>
      <c r="BS88" s="100"/>
      <c r="BT88" s="100"/>
      <c r="BU88" s="100"/>
      <c r="BV88" s="100"/>
      <c r="BW88" s="100"/>
      <c r="BX88" s="100"/>
      <c r="BY88" s="100"/>
      <c r="BZ88" s="100"/>
      <c r="CA88" s="100"/>
      <c r="CB88" s="100"/>
      <c r="CC88" s="100"/>
      <c r="CD88" s="100"/>
      <c r="CE88" s="100"/>
      <c r="CF88" s="100"/>
      <c r="CG88" s="100"/>
      <c r="CH88" s="100"/>
      <c r="CI88" s="100"/>
      <c r="CJ88" s="100"/>
      <c r="CK88" s="100"/>
      <c r="CL88" s="100"/>
      <c r="CM88" s="100"/>
      <c r="CN88" s="100"/>
      <c r="CO88" s="100"/>
      <c r="CP88" s="100"/>
      <c r="CQ88" s="100"/>
      <c r="CR88" s="100"/>
      <c r="CS88" s="100"/>
      <c r="CT88" s="100"/>
      <c r="CU88" s="100"/>
      <c r="CV88" s="100"/>
    </row>
    <row r="89" spans="1:100" ht="15.75" x14ac:dyDescent="0.15">
      <c r="A89" s="33"/>
      <c r="B89" s="36"/>
      <c r="C89" s="36"/>
      <c r="D89" s="36"/>
      <c r="E89" s="36"/>
      <c r="F89" s="36"/>
      <c r="G89" s="35"/>
      <c r="H89" s="105"/>
      <c r="I89" s="105"/>
      <c r="J89" s="105"/>
      <c r="K89" s="106"/>
      <c r="L89" s="105"/>
      <c r="M89" s="105"/>
      <c r="N89" s="105"/>
      <c r="O89" s="105"/>
      <c r="P89" s="105"/>
      <c r="Q89" s="100"/>
      <c r="R89" s="100"/>
      <c r="S89" s="100"/>
      <c r="T89" s="100"/>
      <c r="U89" s="100"/>
      <c r="V89" s="100"/>
      <c r="W89" s="100"/>
      <c r="X89" s="100"/>
      <c r="Y89" s="100"/>
      <c r="Z89" s="100"/>
      <c r="AA89" s="100"/>
      <c r="AB89" s="100"/>
      <c r="AC89" s="100"/>
      <c r="AD89" s="100"/>
      <c r="AE89" s="100"/>
      <c r="AF89" s="100"/>
      <c r="AG89" s="100"/>
      <c r="AH89" s="100"/>
      <c r="AI89" s="100"/>
      <c r="AJ89" s="100"/>
      <c r="AK89" s="100"/>
      <c r="AL89" s="100"/>
      <c r="AM89" s="100"/>
      <c r="AN89" s="100"/>
      <c r="AO89" s="100"/>
      <c r="AP89" s="100"/>
      <c r="AQ89" s="100"/>
      <c r="AR89" s="100"/>
      <c r="AS89" s="100"/>
      <c r="AT89" s="100"/>
      <c r="AU89" s="100"/>
      <c r="AV89" s="100"/>
      <c r="AW89" s="100"/>
      <c r="AX89" s="100"/>
      <c r="AY89" s="100"/>
      <c r="AZ89" s="100"/>
      <c r="BA89" s="100"/>
      <c r="BB89" s="100"/>
      <c r="BC89" s="100"/>
      <c r="BD89" s="100"/>
      <c r="BE89" s="100"/>
      <c r="BF89" s="100"/>
      <c r="BG89" s="100"/>
      <c r="BH89" s="100"/>
      <c r="BI89" s="100"/>
      <c r="BJ89" s="100"/>
      <c r="BK89" s="100"/>
      <c r="BL89" s="100"/>
      <c r="BM89" s="100"/>
      <c r="BN89" s="100"/>
      <c r="BO89" s="100"/>
      <c r="BP89" s="100"/>
      <c r="BQ89" s="100"/>
      <c r="BR89" s="100"/>
      <c r="BS89" s="100"/>
      <c r="BT89" s="100"/>
      <c r="BU89" s="100"/>
      <c r="BV89" s="100"/>
      <c r="BW89" s="100"/>
      <c r="BX89" s="100"/>
      <c r="BY89" s="100"/>
      <c r="BZ89" s="100"/>
      <c r="CA89" s="100"/>
      <c r="CB89" s="100"/>
      <c r="CC89" s="100"/>
      <c r="CD89" s="100"/>
      <c r="CE89" s="100"/>
      <c r="CF89" s="100"/>
      <c r="CG89" s="100"/>
      <c r="CH89" s="100"/>
      <c r="CI89" s="100"/>
      <c r="CJ89" s="100"/>
      <c r="CK89" s="100"/>
      <c r="CL89" s="100"/>
      <c r="CM89" s="100"/>
      <c r="CN89" s="100"/>
      <c r="CO89" s="100"/>
      <c r="CP89" s="100"/>
      <c r="CQ89" s="100"/>
      <c r="CR89" s="100"/>
      <c r="CS89" s="100"/>
      <c r="CT89" s="100"/>
      <c r="CU89" s="100"/>
      <c r="CV89" s="100"/>
    </row>
    <row r="90" spans="1:100" ht="15.75" x14ac:dyDescent="0.15">
      <c r="A90" s="33"/>
      <c r="B90" s="36"/>
      <c r="C90" s="36"/>
      <c r="D90" s="36"/>
      <c r="E90" s="36"/>
      <c r="F90" s="36"/>
      <c r="G90" s="35"/>
      <c r="H90" s="105"/>
      <c r="I90" s="105"/>
      <c r="J90" s="105"/>
      <c r="K90" s="106"/>
      <c r="L90" s="105"/>
      <c r="M90" s="105"/>
      <c r="N90" s="105"/>
      <c r="O90" s="105"/>
      <c r="P90" s="105"/>
      <c r="Q90" s="100"/>
      <c r="R90" s="100"/>
      <c r="S90" s="100"/>
      <c r="T90" s="100"/>
      <c r="U90" s="100"/>
      <c r="V90" s="100"/>
      <c r="W90" s="100"/>
      <c r="X90" s="100"/>
      <c r="Y90" s="100"/>
      <c r="Z90" s="100"/>
      <c r="AA90" s="100"/>
      <c r="AB90" s="100"/>
      <c r="AC90" s="100"/>
      <c r="AD90" s="100"/>
      <c r="AE90" s="100"/>
      <c r="AF90" s="100"/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100"/>
      <c r="AY90" s="100"/>
      <c r="AZ90" s="100"/>
      <c r="BA90" s="100"/>
      <c r="BB90" s="100"/>
      <c r="BC90" s="100"/>
      <c r="BD90" s="100"/>
      <c r="BE90" s="100"/>
      <c r="BF90" s="100"/>
      <c r="BG90" s="100"/>
      <c r="BH90" s="100"/>
      <c r="BI90" s="100"/>
      <c r="BJ90" s="100"/>
      <c r="BK90" s="100"/>
      <c r="BL90" s="100"/>
      <c r="BM90" s="100"/>
      <c r="BN90" s="100"/>
      <c r="BO90" s="100"/>
      <c r="BP90" s="100"/>
      <c r="BQ90" s="100"/>
      <c r="BR90" s="100"/>
      <c r="BS90" s="100"/>
      <c r="BT90" s="100"/>
      <c r="BU90" s="100"/>
      <c r="BV90" s="100"/>
      <c r="BW90" s="100"/>
      <c r="BX90" s="100"/>
      <c r="BY90" s="100"/>
      <c r="BZ90" s="100"/>
      <c r="CA90" s="100"/>
      <c r="CB90" s="100"/>
      <c r="CC90" s="100"/>
      <c r="CD90" s="100"/>
      <c r="CE90" s="100"/>
      <c r="CF90" s="100"/>
      <c r="CG90" s="100"/>
      <c r="CH90" s="100"/>
      <c r="CI90" s="100"/>
      <c r="CJ90" s="100"/>
      <c r="CK90" s="100"/>
      <c r="CL90" s="100"/>
      <c r="CM90" s="100"/>
      <c r="CN90" s="100"/>
      <c r="CO90" s="100"/>
      <c r="CP90" s="100"/>
      <c r="CQ90" s="100"/>
      <c r="CR90" s="100"/>
      <c r="CS90" s="100"/>
      <c r="CT90" s="100"/>
      <c r="CU90" s="100"/>
      <c r="CV90" s="100"/>
    </row>
    <row r="91" spans="1:100" ht="15.75" x14ac:dyDescent="0.15">
      <c r="A91" s="33"/>
      <c r="B91" s="36"/>
      <c r="C91" s="36"/>
      <c r="D91" s="36"/>
      <c r="E91" s="36"/>
      <c r="F91" s="36"/>
      <c r="G91" s="35"/>
      <c r="H91" s="105"/>
      <c r="I91" s="105"/>
      <c r="J91" s="105"/>
      <c r="K91" s="106"/>
      <c r="L91" s="105"/>
      <c r="M91" s="105"/>
      <c r="N91" s="105"/>
      <c r="O91" s="105"/>
      <c r="P91" s="105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100"/>
      <c r="AD91" s="100"/>
      <c r="AE91" s="100"/>
      <c r="AF91" s="100"/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100"/>
      <c r="AY91" s="100"/>
      <c r="AZ91" s="100"/>
      <c r="BA91" s="100"/>
      <c r="BB91" s="100"/>
      <c r="BC91" s="100"/>
      <c r="BD91" s="100"/>
      <c r="BE91" s="100"/>
      <c r="BF91" s="100"/>
      <c r="BG91" s="100"/>
      <c r="BH91" s="100"/>
      <c r="BI91" s="100"/>
      <c r="BJ91" s="100"/>
      <c r="BK91" s="100"/>
      <c r="BL91" s="100"/>
      <c r="BM91" s="100"/>
      <c r="BN91" s="100"/>
      <c r="BO91" s="100"/>
      <c r="BP91" s="100"/>
      <c r="BQ91" s="100"/>
      <c r="BR91" s="100"/>
      <c r="BS91" s="100"/>
      <c r="BT91" s="100"/>
      <c r="BU91" s="100"/>
      <c r="BV91" s="100"/>
      <c r="BW91" s="100"/>
      <c r="BX91" s="100"/>
      <c r="BY91" s="100"/>
      <c r="BZ91" s="100"/>
      <c r="CA91" s="100"/>
      <c r="CB91" s="100"/>
      <c r="CC91" s="100"/>
      <c r="CD91" s="100"/>
      <c r="CE91" s="100"/>
      <c r="CF91" s="100"/>
      <c r="CG91" s="100"/>
      <c r="CH91" s="100"/>
      <c r="CI91" s="100"/>
      <c r="CJ91" s="100"/>
      <c r="CK91" s="100"/>
      <c r="CL91" s="100"/>
      <c r="CM91" s="100"/>
      <c r="CN91" s="100"/>
      <c r="CO91" s="100"/>
      <c r="CP91" s="100"/>
      <c r="CQ91" s="100"/>
      <c r="CR91" s="100"/>
      <c r="CS91" s="100"/>
      <c r="CT91" s="100"/>
      <c r="CU91" s="100"/>
      <c r="CV91" s="100"/>
    </row>
    <row r="92" spans="1:100" ht="15.75" x14ac:dyDescent="0.15">
      <c r="A92" s="33"/>
      <c r="B92" s="36"/>
      <c r="C92" s="36"/>
      <c r="D92" s="36"/>
      <c r="E92" s="36"/>
      <c r="F92" s="36"/>
      <c r="G92" s="35"/>
      <c r="H92" s="105"/>
      <c r="I92" s="105"/>
      <c r="J92" s="105"/>
      <c r="K92" s="106"/>
      <c r="L92" s="105"/>
      <c r="M92" s="105"/>
      <c r="N92" s="105"/>
      <c r="O92" s="105"/>
      <c r="P92" s="105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100"/>
      <c r="AY92" s="100"/>
      <c r="AZ92" s="100"/>
      <c r="BA92" s="100"/>
      <c r="BB92" s="100"/>
      <c r="BC92" s="100"/>
      <c r="BD92" s="100"/>
      <c r="BE92" s="100"/>
      <c r="BF92" s="100"/>
      <c r="BG92" s="100"/>
      <c r="BH92" s="100"/>
      <c r="BI92" s="100"/>
      <c r="BJ92" s="100"/>
      <c r="BK92" s="100"/>
      <c r="BL92" s="100"/>
      <c r="BM92" s="100"/>
      <c r="BN92" s="100"/>
      <c r="BO92" s="100"/>
      <c r="BP92" s="100"/>
      <c r="BQ92" s="100"/>
      <c r="BR92" s="100"/>
      <c r="BS92" s="100"/>
      <c r="BT92" s="100"/>
      <c r="BU92" s="100"/>
      <c r="BV92" s="100"/>
      <c r="BW92" s="100"/>
      <c r="BX92" s="100"/>
      <c r="BY92" s="100"/>
      <c r="BZ92" s="100"/>
      <c r="CA92" s="100"/>
      <c r="CB92" s="100"/>
      <c r="CC92" s="100"/>
      <c r="CD92" s="100"/>
      <c r="CE92" s="100"/>
      <c r="CF92" s="100"/>
      <c r="CG92" s="100"/>
      <c r="CH92" s="100"/>
      <c r="CI92" s="100"/>
      <c r="CJ92" s="100"/>
      <c r="CK92" s="100"/>
      <c r="CL92" s="100"/>
      <c r="CM92" s="100"/>
      <c r="CN92" s="100"/>
      <c r="CO92" s="100"/>
      <c r="CP92" s="100"/>
      <c r="CQ92" s="100"/>
      <c r="CR92" s="100"/>
      <c r="CS92" s="100"/>
      <c r="CT92" s="100"/>
      <c r="CU92" s="100"/>
      <c r="CV92" s="100"/>
    </row>
    <row r="93" spans="1:100" ht="15.75" x14ac:dyDescent="0.15">
      <c r="A93" s="33"/>
      <c r="B93" s="36"/>
      <c r="C93" s="36"/>
      <c r="D93" s="36"/>
      <c r="E93" s="36"/>
      <c r="F93" s="36"/>
      <c r="G93" s="35"/>
      <c r="H93" s="105"/>
      <c r="I93" s="105"/>
      <c r="J93" s="105"/>
      <c r="K93" s="105"/>
      <c r="L93" s="105"/>
      <c r="M93" s="105"/>
      <c r="N93" s="105"/>
      <c r="O93" s="105"/>
      <c r="P93" s="105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0"/>
      <c r="AD93" s="100"/>
      <c r="AE93" s="100"/>
      <c r="AF93" s="100"/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100"/>
      <c r="AY93" s="100"/>
      <c r="AZ93" s="100"/>
      <c r="BA93" s="100"/>
      <c r="BB93" s="100"/>
      <c r="BC93" s="100"/>
      <c r="BD93" s="100"/>
      <c r="BE93" s="100"/>
      <c r="BF93" s="100"/>
      <c r="BG93" s="100"/>
      <c r="BH93" s="100"/>
      <c r="BI93" s="100"/>
      <c r="BJ93" s="100"/>
      <c r="BK93" s="100"/>
      <c r="BL93" s="100"/>
      <c r="BM93" s="100"/>
      <c r="BN93" s="100"/>
      <c r="BO93" s="100"/>
      <c r="BP93" s="100"/>
      <c r="BQ93" s="100"/>
      <c r="BR93" s="100"/>
      <c r="BS93" s="100"/>
      <c r="BT93" s="100"/>
      <c r="BU93" s="100"/>
      <c r="BV93" s="100"/>
      <c r="BW93" s="100"/>
      <c r="BX93" s="100"/>
      <c r="BY93" s="100"/>
      <c r="BZ93" s="100"/>
      <c r="CA93" s="100"/>
      <c r="CB93" s="100"/>
      <c r="CC93" s="100"/>
      <c r="CD93" s="100"/>
      <c r="CE93" s="100"/>
      <c r="CF93" s="100"/>
      <c r="CG93" s="100"/>
      <c r="CH93" s="100"/>
      <c r="CI93" s="100"/>
      <c r="CJ93" s="100"/>
      <c r="CK93" s="100"/>
      <c r="CL93" s="100"/>
      <c r="CM93" s="100"/>
      <c r="CN93" s="100"/>
      <c r="CO93" s="100"/>
      <c r="CP93" s="100"/>
      <c r="CQ93" s="100"/>
      <c r="CR93" s="100"/>
      <c r="CS93" s="100"/>
      <c r="CT93" s="100"/>
      <c r="CU93" s="100"/>
      <c r="CV93" s="100"/>
    </row>
    <row r="94" spans="1:100" x14ac:dyDescent="0.15">
      <c r="H94" s="107"/>
      <c r="I94" s="107"/>
      <c r="J94" s="107"/>
      <c r="K94" s="107"/>
      <c r="L94" s="107"/>
      <c r="M94" s="107"/>
      <c r="N94" s="107"/>
      <c r="O94" s="107"/>
      <c r="P94" s="107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  <c r="AJ94" s="100"/>
      <c r="AK94" s="100"/>
      <c r="AL94" s="100"/>
      <c r="AM94" s="100"/>
      <c r="AN94" s="100"/>
      <c r="AO94" s="100"/>
      <c r="AP94" s="100"/>
      <c r="AQ94" s="100"/>
      <c r="AR94" s="100"/>
      <c r="AS94" s="100"/>
      <c r="AT94" s="100"/>
      <c r="AU94" s="100"/>
      <c r="AV94" s="100"/>
      <c r="AW94" s="100"/>
      <c r="AX94" s="100"/>
      <c r="AY94" s="100"/>
      <c r="AZ94" s="100"/>
      <c r="BA94" s="100"/>
      <c r="BB94" s="100"/>
      <c r="BC94" s="100"/>
      <c r="BD94" s="100"/>
      <c r="BE94" s="100"/>
      <c r="BF94" s="100"/>
      <c r="BG94" s="100"/>
      <c r="BH94" s="100"/>
      <c r="BI94" s="100"/>
      <c r="BJ94" s="100"/>
      <c r="BK94" s="100"/>
      <c r="BL94" s="100"/>
      <c r="BM94" s="100"/>
      <c r="BN94" s="100"/>
      <c r="BO94" s="100"/>
      <c r="BP94" s="100"/>
      <c r="BQ94" s="100"/>
      <c r="BR94" s="100"/>
      <c r="BS94" s="100"/>
      <c r="BT94" s="100"/>
      <c r="BU94" s="100"/>
      <c r="BV94" s="100"/>
      <c r="BW94" s="100"/>
      <c r="BX94" s="100"/>
      <c r="BY94" s="100"/>
      <c r="BZ94" s="100"/>
      <c r="CA94" s="100"/>
      <c r="CB94" s="100"/>
      <c r="CC94" s="100"/>
      <c r="CD94" s="100"/>
      <c r="CE94" s="100"/>
      <c r="CF94" s="100"/>
      <c r="CG94" s="100"/>
      <c r="CH94" s="100"/>
      <c r="CI94" s="100"/>
      <c r="CJ94" s="100"/>
      <c r="CK94" s="100"/>
      <c r="CL94" s="100"/>
      <c r="CM94" s="100"/>
      <c r="CN94" s="100"/>
      <c r="CO94" s="100"/>
      <c r="CP94" s="100"/>
      <c r="CQ94" s="100"/>
      <c r="CR94" s="100"/>
      <c r="CS94" s="100"/>
      <c r="CT94" s="100"/>
      <c r="CU94" s="100"/>
      <c r="CV94" s="100"/>
    </row>
    <row r="95" spans="1:100" x14ac:dyDescent="0.15">
      <c r="H95" s="107"/>
      <c r="I95" s="107"/>
      <c r="J95" s="107"/>
      <c r="K95" s="107"/>
      <c r="L95" s="107"/>
      <c r="M95" s="107"/>
      <c r="N95" s="107"/>
      <c r="O95" s="107"/>
      <c r="P95" s="107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100"/>
      <c r="AD95" s="100"/>
      <c r="AE95" s="100"/>
      <c r="AF95" s="100"/>
      <c r="AG95" s="100"/>
      <c r="AH95" s="100"/>
      <c r="AI95" s="100"/>
      <c r="AJ95" s="100"/>
      <c r="AK95" s="100"/>
      <c r="AL95" s="100"/>
      <c r="AM95" s="100"/>
      <c r="AN95" s="100"/>
      <c r="AO95" s="100"/>
      <c r="AP95" s="100"/>
      <c r="AQ95" s="100"/>
      <c r="AR95" s="100"/>
      <c r="AS95" s="100"/>
      <c r="AT95" s="100"/>
      <c r="AU95" s="100"/>
      <c r="AV95" s="100"/>
      <c r="AW95" s="100"/>
      <c r="AX95" s="100"/>
      <c r="AY95" s="100"/>
      <c r="AZ95" s="100"/>
      <c r="BA95" s="100"/>
      <c r="BB95" s="100"/>
      <c r="BC95" s="100"/>
      <c r="BD95" s="100"/>
      <c r="BE95" s="100"/>
      <c r="BF95" s="100"/>
      <c r="BG95" s="100"/>
      <c r="BH95" s="100"/>
      <c r="BI95" s="100"/>
      <c r="BJ95" s="100"/>
      <c r="BK95" s="100"/>
      <c r="BL95" s="100"/>
      <c r="BM95" s="100"/>
      <c r="BN95" s="100"/>
      <c r="BO95" s="100"/>
      <c r="BP95" s="100"/>
      <c r="BQ95" s="100"/>
      <c r="BR95" s="100"/>
      <c r="BS95" s="100"/>
      <c r="BT95" s="100"/>
      <c r="BU95" s="100"/>
      <c r="BV95" s="100"/>
      <c r="BW95" s="100"/>
      <c r="BX95" s="100"/>
      <c r="BY95" s="100"/>
      <c r="BZ95" s="100"/>
      <c r="CA95" s="100"/>
      <c r="CB95" s="100"/>
      <c r="CC95" s="100"/>
      <c r="CD95" s="100"/>
      <c r="CE95" s="100"/>
      <c r="CF95" s="100"/>
      <c r="CG95" s="100"/>
      <c r="CH95" s="100"/>
      <c r="CI95" s="100"/>
      <c r="CJ95" s="100"/>
      <c r="CK95" s="100"/>
      <c r="CL95" s="100"/>
      <c r="CM95" s="100"/>
      <c r="CN95" s="100"/>
      <c r="CO95" s="100"/>
      <c r="CP95" s="100"/>
      <c r="CQ95" s="100"/>
      <c r="CR95" s="100"/>
      <c r="CS95" s="100"/>
      <c r="CT95" s="100"/>
      <c r="CU95" s="100"/>
      <c r="CV95" s="100"/>
    </row>
    <row r="96" spans="1:100" x14ac:dyDescent="0.15">
      <c r="H96" s="107"/>
      <c r="I96" s="107"/>
      <c r="J96" s="107"/>
      <c r="K96" s="107"/>
      <c r="L96" s="107"/>
      <c r="M96" s="107"/>
      <c r="N96" s="107"/>
      <c r="O96" s="107"/>
      <c r="P96" s="107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  <c r="AJ96" s="100"/>
      <c r="AK96" s="100"/>
      <c r="AL96" s="100"/>
      <c r="AM96" s="100"/>
      <c r="AN96" s="100"/>
      <c r="AO96" s="100"/>
      <c r="AP96" s="100"/>
      <c r="AQ96" s="100"/>
      <c r="AR96" s="100"/>
      <c r="AS96" s="100"/>
      <c r="AT96" s="100"/>
      <c r="AU96" s="100"/>
      <c r="AV96" s="100"/>
      <c r="AW96" s="100"/>
      <c r="AX96" s="100"/>
      <c r="AY96" s="100"/>
      <c r="AZ96" s="100"/>
      <c r="BA96" s="100"/>
      <c r="BB96" s="100"/>
      <c r="BC96" s="100"/>
      <c r="BD96" s="100"/>
      <c r="BE96" s="100"/>
      <c r="BF96" s="100"/>
      <c r="BG96" s="100"/>
      <c r="BH96" s="100"/>
      <c r="BI96" s="100"/>
      <c r="BJ96" s="100"/>
      <c r="BK96" s="100"/>
      <c r="BL96" s="100"/>
      <c r="BM96" s="100"/>
      <c r="BN96" s="100"/>
      <c r="BO96" s="100"/>
      <c r="BP96" s="100"/>
      <c r="BQ96" s="100"/>
      <c r="BR96" s="100"/>
      <c r="BS96" s="100"/>
      <c r="BT96" s="100"/>
      <c r="BU96" s="100"/>
      <c r="BV96" s="100"/>
      <c r="BW96" s="100"/>
      <c r="BX96" s="100"/>
      <c r="BY96" s="100"/>
      <c r="BZ96" s="100"/>
      <c r="CA96" s="100"/>
      <c r="CB96" s="100"/>
      <c r="CC96" s="100"/>
      <c r="CD96" s="100"/>
      <c r="CE96" s="100"/>
      <c r="CF96" s="100"/>
      <c r="CG96" s="100"/>
      <c r="CH96" s="100"/>
      <c r="CI96" s="100"/>
      <c r="CJ96" s="100"/>
      <c r="CK96" s="100"/>
      <c r="CL96" s="100"/>
      <c r="CM96" s="100"/>
      <c r="CN96" s="100"/>
      <c r="CO96" s="100"/>
      <c r="CP96" s="100"/>
      <c r="CQ96" s="100"/>
      <c r="CR96" s="100"/>
      <c r="CS96" s="100"/>
      <c r="CT96" s="100"/>
      <c r="CU96" s="100"/>
      <c r="CV96" s="100"/>
    </row>
    <row r="97" spans="8:100" x14ac:dyDescent="0.15">
      <c r="H97" s="107"/>
      <c r="I97" s="107"/>
      <c r="J97" s="107"/>
      <c r="K97" s="107"/>
      <c r="L97" s="107"/>
      <c r="M97" s="107"/>
      <c r="N97" s="107"/>
      <c r="O97" s="107"/>
      <c r="P97" s="107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  <c r="BU97" s="100"/>
      <c r="BV97" s="100"/>
      <c r="BW97" s="100"/>
      <c r="BX97" s="100"/>
      <c r="BY97" s="100"/>
      <c r="BZ97" s="100"/>
      <c r="CA97" s="100"/>
      <c r="CB97" s="100"/>
      <c r="CC97" s="100"/>
      <c r="CD97" s="100"/>
      <c r="CE97" s="100"/>
      <c r="CF97" s="100"/>
      <c r="CG97" s="100"/>
      <c r="CH97" s="100"/>
      <c r="CI97" s="100"/>
      <c r="CJ97" s="100"/>
      <c r="CK97" s="100"/>
      <c r="CL97" s="100"/>
      <c r="CM97" s="100"/>
      <c r="CN97" s="100"/>
      <c r="CO97" s="100"/>
      <c r="CP97" s="100"/>
      <c r="CQ97" s="100"/>
      <c r="CR97" s="100"/>
      <c r="CS97" s="100"/>
      <c r="CT97" s="100"/>
      <c r="CU97" s="100"/>
      <c r="CV97" s="100"/>
    </row>
    <row r="98" spans="8:100" x14ac:dyDescent="0.15">
      <c r="H98" s="107"/>
      <c r="I98" s="107"/>
      <c r="J98" s="107"/>
      <c r="K98" s="107"/>
      <c r="L98" s="107"/>
      <c r="M98" s="107"/>
      <c r="N98" s="107"/>
      <c r="O98" s="107"/>
      <c r="P98" s="107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  <c r="AJ98" s="100"/>
      <c r="AK98" s="100"/>
      <c r="AL98" s="100"/>
      <c r="AM98" s="100"/>
      <c r="AN98" s="100"/>
      <c r="AO98" s="100"/>
      <c r="AP98" s="100"/>
      <c r="AQ98" s="100"/>
      <c r="AR98" s="100"/>
      <c r="AS98" s="100"/>
      <c r="AT98" s="100"/>
      <c r="AU98" s="100"/>
      <c r="AV98" s="100"/>
      <c r="AW98" s="100"/>
      <c r="AX98" s="100"/>
      <c r="AY98" s="100"/>
      <c r="AZ98" s="100"/>
      <c r="BA98" s="100"/>
      <c r="BB98" s="100"/>
      <c r="BC98" s="100"/>
      <c r="BD98" s="100"/>
      <c r="BE98" s="100"/>
      <c r="BF98" s="100"/>
      <c r="BG98" s="100"/>
      <c r="BH98" s="100"/>
      <c r="BI98" s="100"/>
      <c r="BJ98" s="100"/>
      <c r="BK98" s="100"/>
      <c r="BL98" s="100"/>
      <c r="BM98" s="100"/>
      <c r="BN98" s="100"/>
      <c r="BO98" s="100"/>
      <c r="BP98" s="100"/>
      <c r="BQ98" s="100"/>
      <c r="BR98" s="100"/>
      <c r="BS98" s="100"/>
      <c r="BT98" s="100"/>
      <c r="BU98" s="100"/>
      <c r="BV98" s="100"/>
      <c r="BW98" s="100"/>
      <c r="BX98" s="100"/>
      <c r="BY98" s="100"/>
      <c r="BZ98" s="100"/>
      <c r="CA98" s="100"/>
      <c r="CB98" s="100"/>
      <c r="CC98" s="100"/>
      <c r="CD98" s="100"/>
      <c r="CE98" s="100"/>
      <c r="CF98" s="100"/>
      <c r="CG98" s="100"/>
      <c r="CH98" s="100"/>
      <c r="CI98" s="100"/>
      <c r="CJ98" s="100"/>
      <c r="CK98" s="100"/>
      <c r="CL98" s="100"/>
      <c r="CM98" s="100"/>
      <c r="CN98" s="100"/>
      <c r="CO98" s="100"/>
      <c r="CP98" s="100"/>
      <c r="CQ98" s="100"/>
      <c r="CR98" s="100"/>
      <c r="CS98" s="100"/>
      <c r="CT98" s="100"/>
      <c r="CU98" s="100"/>
      <c r="CV98" s="100"/>
    </row>
    <row r="99" spans="8:100" x14ac:dyDescent="0.15">
      <c r="H99" s="107"/>
      <c r="I99" s="107"/>
      <c r="J99" s="107"/>
      <c r="K99" s="107"/>
      <c r="L99" s="107"/>
      <c r="M99" s="107"/>
      <c r="N99" s="107"/>
      <c r="O99" s="107"/>
      <c r="P99" s="107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100"/>
      <c r="AD99" s="100"/>
      <c r="AE99" s="100"/>
      <c r="AF99" s="100"/>
      <c r="AG99" s="100"/>
      <c r="AH99" s="100"/>
      <c r="AI99" s="100"/>
      <c r="AJ99" s="100"/>
      <c r="AK99" s="100"/>
      <c r="AL99" s="100"/>
      <c r="AM99" s="100"/>
      <c r="AN99" s="100"/>
      <c r="AO99" s="100"/>
      <c r="AP99" s="100"/>
      <c r="AQ99" s="100"/>
      <c r="AR99" s="100"/>
      <c r="AS99" s="100"/>
      <c r="AT99" s="100"/>
      <c r="AU99" s="100"/>
      <c r="AV99" s="100"/>
      <c r="AW99" s="100"/>
      <c r="AX99" s="100"/>
      <c r="AY99" s="100"/>
      <c r="AZ99" s="100"/>
      <c r="BA99" s="100"/>
      <c r="BB99" s="100"/>
      <c r="BC99" s="100"/>
      <c r="BD99" s="100"/>
      <c r="BE99" s="100"/>
      <c r="BF99" s="100"/>
      <c r="BG99" s="100"/>
      <c r="BH99" s="100"/>
      <c r="BI99" s="100"/>
      <c r="BJ99" s="100"/>
      <c r="BK99" s="100"/>
      <c r="BL99" s="100"/>
      <c r="BM99" s="100"/>
      <c r="BN99" s="100"/>
      <c r="BO99" s="100"/>
      <c r="BP99" s="100"/>
      <c r="BQ99" s="100"/>
      <c r="BR99" s="100"/>
      <c r="BS99" s="100"/>
      <c r="BT99" s="100"/>
      <c r="BU99" s="100"/>
      <c r="BV99" s="100"/>
      <c r="BW99" s="100"/>
      <c r="BX99" s="100"/>
      <c r="BY99" s="100"/>
      <c r="BZ99" s="100"/>
      <c r="CA99" s="100"/>
      <c r="CB99" s="100"/>
      <c r="CC99" s="100"/>
      <c r="CD99" s="100"/>
      <c r="CE99" s="100"/>
      <c r="CF99" s="100"/>
      <c r="CG99" s="100"/>
      <c r="CH99" s="100"/>
      <c r="CI99" s="100"/>
      <c r="CJ99" s="100"/>
      <c r="CK99" s="100"/>
      <c r="CL99" s="100"/>
      <c r="CM99" s="100"/>
      <c r="CN99" s="100"/>
      <c r="CO99" s="100"/>
      <c r="CP99" s="100"/>
      <c r="CQ99" s="100"/>
      <c r="CR99" s="100"/>
      <c r="CS99" s="100"/>
      <c r="CT99" s="100"/>
      <c r="CU99" s="100"/>
      <c r="CV99" s="100"/>
    </row>
    <row r="100" spans="8:100" x14ac:dyDescent="0.15">
      <c r="H100" s="107"/>
      <c r="I100" s="107"/>
      <c r="J100" s="107"/>
      <c r="K100" s="107"/>
      <c r="L100" s="107"/>
      <c r="M100" s="107"/>
      <c r="N100" s="107"/>
      <c r="O100" s="107"/>
      <c r="P100" s="107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  <c r="AJ100" s="100"/>
      <c r="AK100" s="100"/>
      <c r="AL100" s="100"/>
      <c r="AM100" s="100"/>
      <c r="AN100" s="100"/>
      <c r="AO100" s="100"/>
      <c r="AP100" s="100"/>
      <c r="AQ100" s="100"/>
      <c r="AR100" s="100"/>
      <c r="AS100" s="100"/>
      <c r="AT100" s="100"/>
      <c r="AU100" s="100"/>
      <c r="AV100" s="100"/>
      <c r="AW100" s="100"/>
      <c r="AX100" s="100"/>
      <c r="AY100" s="100"/>
      <c r="AZ100" s="100"/>
      <c r="BA100" s="100"/>
      <c r="BB100" s="100"/>
      <c r="BC100" s="100"/>
      <c r="BD100" s="100"/>
      <c r="BE100" s="100"/>
      <c r="BF100" s="100"/>
      <c r="BG100" s="100"/>
      <c r="BH100" s="100"/>
      <c r="BI100" s="100"/>
      <c r="BJ100" s="100"/>
      <c r="BK100" s="100"/>
      <c r="BL100" s="100"/>
      <c r="BM100" s="100"/>
      <c r="BN100" s="100"/>
      <c r="BO100" s="100"/>
      <c r="BP100" s="100"/>
      <c r="BQ100" s="100"/>
      <c r="BR100" s="100"/>
      <c r="BS100" s="100"/>
      <c r="BT100" s="100"/>
      <c r="BU100" s="100"/>
      <c r="BV100" s="100"/>
      <c r="BW100" s="100"/>
      <c r="BX100" s="100"/>
      <c r="BY100" s="100"/>
      <c r="BZ100" s="100"/>
      <c r="CA100" s="100"/>
      <c r="CB100" s="100"/>
      <c r="CC100" s="100"/>
      <c r="CD100" s="100"/>
      <c r="CE100" s="100"/>
      <c r="CF100" s="100"/>
      <c r="CG100" s="100"/>
      <c r="CH100" s="100"/>
      <c r="CI100" s="100"/>
      <c r="CJ100" s="100"/>
      <c r="CK100" s="100"/>
      <c r="CL100" s="100"/>
      <c r="CM100" s="100"/>
      <c r="CN100" s="100"/>
      <c r="CO100" s="100"/>
      <c r="CP100" s="100"/>
      <c r="CQ100" s="100"/>
      <c r="CR100" s="100"/>
      <c r="CS100" s="100"/>
      <c r="CT100" s="100"/>
      <c r="CU100" s="100"/>
      <c r="CV100" s="100"/>
    </row>
    <row r="101" spans="8:100" x14ac:dyDescent="0.15">
      <c r="H101" s="107"/>
      <c r="I101" s="107"/>
      <c r="J101" s="107"/>
      <c r="K101" s="107"/>
      <c r="L101" s="107"/>
      <c r="M101" s="107"/>
      <c r="N101" s="107"/>
      <c r="O101" s="107"/>
      <c r="P101" s="107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  <c r="AJ101" s="100"/>
      <c r="AK101" s="100"/>
      <c r="AL101" s="100"/>
      <c r="AM101" s="100"/>
      <c r="AN101" s="100"/>
      <c r="AO101" s="100"/>
      <c r="AP101" s="100"/>
      <c r="AQ101" s="100"/>
      <c r="AR101" s="100"/>
      <c r="AS101" s="100"/>
      <c r="AT101" s="100"/>
      <c r="AU101" s="100"/>
      <c r="AV101" s="100"/>
      <c r="AW101" s="100"/>
      <c r="AX101" s="100"/>
      <c r="AY101" s="100"/>
      <c r="AZ101" s="100"/>
      <c r="BA101" s="100"/>
      <c r="BB101" s="100"/>
      <c r="BC101" s="100"/>
      <c r="BD101" s="100"/>
      <c r="BE101" s="100"/>
      <c r="BF101" s="100"/>
      <c r="BG101" s="100"/>
      <c r="BH101" s="100"/>
      <c r="BI101" s="100"/>
      <c r="BJ101" s="100"/>
      <c r="BK101" s="100"/>
      <c r="BL101" s="100"/>
      <c r="BM101" s="100"/>
      <c r="BN101" s="100"/>
      <c r="BO101" s="100"/>
      <c r="BP101" s="100"/>
      <c r="BQ101" s="100"/>
      <c r="BR101" s="100"/>
      <c r="BS101" s="100"/>
      <c r="BT101" s="100"/>
      <c r="BU101" s="100"/>
      <c r="BV101" s="100"/>
      <c r="BW101" s="100"/>
      <c r="BX101" s="100"/>
      <c r="BY101" s="100"/>
      <c r="BZ101" s="100"/>
      <c r="CA101" s="100"/>
      <c r="CB101" s="100"/>
      <c r="CC101" s="100"/>
      <c r="CD101" s="100"/>
      <c r="CE101" s="100"/>
      <c r="CF101" s="100"/>
      <c r="CG101" s="100"/>
      <c r="CH101" s="100"/>
      <c r="CI101" s="100"/>
      <c r="CJ101" s="100"/>
      <c r="CK101" s="100"/>
      <c r="CL101" s="100"/>
      <c r="CM101" s="100"/>
      <c r="CN101" s="100"/>
      <c r="CO101" s="100"/>
      <c r="CP101" s="100"/>
      <c r="CQ101" s="100"/>
      <c r="CR101" s="100"/>
      <c r="CS101" s="100"/>
      <c r="CT101" s="100"/>
      <c r="CU101" s="100"/>
      <c r="CV101" s="100"/>
    </row>
    <row r="102" spans="8:100" x14ac:dyDescent="0.15">
      <c r="H102" s="107"/>
      <c r="I102" s="107"/>
      <c r="J102" s="107"/>
      <c r="K102" s="107"/>
      <c r="L102" s="107"/>
      <c r="M102" s="107"/>
      <c r="N102" s="107"/>
      <c r="O102" s="107"/>
      <c r="P102" s="107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  <c r="AJ102" s="100"/>
      <c r="AK102" s="100"/>
      <c r="AL102" s="100"/>
      <c r="AM102" s="100"/>
      <c r="AN102" s="100"/>
      <c r="AO102" s="100"/>
      <c r="AP102" s="100"/>
      <c r="AQ102" s="100"/>
      <c r="AR102" s="100"/>
      <c r="AS102" s="100"/>
      <c r="AT102" s="100"/>
      <c r="AU102" s="100"/>
      <c r="AV102" s="100"/>
      <c r="AW102" s="100"/>
      <c r="AX102" s="100"/>
      <c r="AY102" s="100"/>
      <c r="AZ102" s="100"/>
      <c r="BA102" s="100"/>
      <c r="BB102" s="100"/>
      <c r="BC102" s="100"/>
      <c r="BD102" s="100"/>
      <c r="BE102" s="100"/>
      <c r="BF102" s="100"/>
      <c r="BG102" s="100"/>
      <c r="BH102" s="100"/>
      <c r="BI102" s="100"/>
      <c r="BJ102" s="100"/>
      <c r="BK102" s="100"/>
      <c r="BL102" s="100"/>
      <c r="BM102" s="100"/>
      <c r="BN102" s="100"/>
      <c r="BO102" s="100"/>
      <c r="BP102" s="100"/>
      <c r="BQ102" s="100"/>
      <c r="BR102" s="100"/>
      <c r="BS102" s="100"/>
      <c r="BT102" s="100"/>
      <c r="BU102" s="100"/>
      <c r="BV102" s="100"/>
      <c r="BW102" s="100"/>
      <c r="BX102" s="100"/>
      <c r="BY102" s="100"/>
      <c r="BZ102" s="100"/>
      <c r="CA102" s="100"/>
      <c r="CB102" s="100"/>
      <c r="CC102" s="100"/>
      <c r="CD102" s="100"/>
      <c r="CE102" s="100"/>
      <c r="CF102" s="100"/>
      <c r="CG102" s="100"/>
      <c r="CH102" s="100"/>
      <c r="CI102" s="100"/>
      <c r="CJ102" s="100"/>
      <c r="CK102" s="100"/>
      <c r="CL102" s="100"/>
      <c r="CM102" s="100"/>
      <c r="CN102" s="100"/>
      <c r="CO102" s="100"/>
      <c r="CP102" s="100"/>
      <c r="CQ102" s="100"/>
      <c r="CR102" s="100"/>
      <c r="CS102" s="100"/>
      <c r="CT102" s="100"/>
      <c r="CU102" s="100"/>
      <c r="CV102" s="100"/>
    </row>
    <row r="103" spans="8:100" x14ac:dyDescent="0.15">
      <c r="H103" s="107"/>
      <c r="I103" s="107"/>
      <c r="J103" s="107"/>
      <c r="K103" s="107"/>
      <c r="L103" s="107"/>
      <c r="M103" s="107"/>
      <c r="N103" s="107"/>
      <c r="O103" s="107"/>
      <c r="P103" s="107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100"/>
      <c r="AY103" s="100"/>
      <c r="AZ103" s="100"/>
      <c r="BA103" s="100"/>
      <c r="BB103" s="100"/>
      <c r="BC103" s="100"/>
      <c r="BD103" s="100"/>
      <c r="BE103" s="100"/>
      <c r="BF103" s="100"/>
      <c r="BG103" s="100"/>
      <c r="BH103" s="100"/>
      <c r="BI103" s="100"/>
      <c r="BJ103" s="100"/>
      <c r="BK103" s="100"/>
      <c r="BL103" s="100"/>
      <c r="BM103" s="100"/>
      <c r="BN103" s="100"/>
      <c r="BO103" s="100"/>
      <c r="BP103" s="100"/>
      <c r="BQ103" s="100"/>
      <c r="BR103" s="100"/>
      <c r="BS103" s="100"/>
      <c r="BT103" s="100"/>
      <c r="BU103" s="100"/>
      <c r="BV103" s="100"/>
      <c r="BW103" s="100"/>
      <c r="BX103" s="100"/>
      <c r="BY103" s="100"/>
      <c r="BZ103" s="100"/>
      <c r="CA103" s="100"/>
      <c r="CB103" s="100"/>
      <c r="CC103" s="100"/>
      <c r="CD103" s="100"/>
      <c r="CE103" s="100"/>
      <c r="CF103" s="100"/>
      <c r="CG103" s="100"/>
      <c r="CH103" s="100"/>
      <c r="CI103" s="100"/>
      <c r="CJ103" s="100"/>
      <c r="CK103" s="100"/>
      <c r="CL103" s="100"/>
      <c r="CM103" s="100"/>
      <c r="CN103" s="100"/>
      <c r="CO103" s="100"/>
      <c r="CP103" s="100"/>
      <c r="CQ103" s="100"/>
      <c r="CR103" s="100"/>
      <c r="CS103" s="100"/>
      <c r="CT103" s="100"/>
      <c r="CU103" s="100"/>
      <c r="CV103" s="100"/>
    </row>
    <row r="104" spans="8:100" x14ac:dyDescent="0.15">
      <c r="H104" s="107"/>
      <c r="I104" s="107"/>
      <c r="J104" s="107"/>
      <c r="K104" s="107"/>
      <c r="L104" s="107"/>
      <c r="M104" s="107"/>
      <c r="N104" s="107"/>
      <c r="O104" s="107"/>
      <c r="P104" s="107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100"/>
      <c r="AD104" s="100"/>
      <c r="AE104" s="100"/>
      <c r="AF104" s="100"/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100"/>
      <c r="AY104" s="100"/>
      <c r="AZ104" s="100"/>
      <c r="BA104" s="100"/>
      <c r="BB104" s="100"/>
      <c r="BC104" s="100"/>
      <c r="BD104" s="100"/>
      <c r="BE104" s="100"/>
      <c r="BF104" s="100"/>
      <c r="BG104" s="100"/>
      <c r="BH104" s="100"/>
      <c r="BI104" s="100"/>
      <c r="BJ104" s="100"/>
      <c r="BK104" s="100"/>
      <c r="BL104" s="100"/>
      <c r="BM104" s="100"/>
      <c r="BN104" s="100"/>
      <c r="BO104" s="100"/>
      <c r="BP104" s="100"/>
      <c r="BQ104" s="100"/>
      <c r="BR104" s="100"/>
      <c r="BS104" s="100"/>
      <c r="BT104" s="100"/>
      <c r="BU104" s="100"/>
      <c r="BV104" s="100"/>
      <c r="BW104" s="100"/>
      <c r="BX104" s="100"/>
      <c r="BY104" s="100"/>
      <c r="BZ104" s="100"/>
      <c r="CA104" s="100"/>
      <c r="CB104" s="100"/>
      <c r="CC104" s="100"/>
      <c r="CD104" s="100"/>
      <c r="CE104" s="100"/>
      <c r="CF104" s="100"/>
      <c r="CG104" s="100"/>
      <c r="CH104" s="100"/>
      <c r="CI104" s="100"/>
      <c r="CJ104" s="100"/>
      <c r="CK104" s="100"/>
      <c r="CL104" s="100"/>
      <c r="CM104" s="100"/>
      <c r="CN104" s="100"/>
      <c r="CO104" s="100"/>
      <c r="CP104" s="100"/>
      <c r="CQ104" s="100"/>
      <c r="CR104" s="100"/>
      <c r="CS104" s="100"/>
      <c r="CT104" s="100"/>
      <c r="CU104" s="100"/>
      <c r="CV104" s="100"/>
    </row>
    <row r="105" spans="8:100" x14ac:dyDescent="0.15">
      <c r="H105" s="107"/>
      <c r="I105" s="107"/>
      <c r="J105" s="107"/>
      <c r="K105" s="107"/>
      <c r="L105" s="107"/>
      <c r="M105" s="107"/>
      <c r="N105" s="107"/>
      <c r="O105" s="107"/>
      <c r="P105" s="107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100"/>
      <c r="AD105" s="100"/>
      <c r="AE105" s="100"/>
      <c r="AF105" s="100"/>
      <c r="AG105" s="100"/>
      <c r="AH105" s="100"/>
      <c r="AI105" s="100"/>
      <c r="AJ105" s="100"/>
      <c r="AK105" s="100"/>
      <c r="AL105" s="100"/>
      <c r="AM105" s="100"/>
      <c r="AN105" s="100"/>
      <c r="AO105" s="100"/>
      <c r="AP105" s="100"/>
      <c r="AQ105" s="100"/>
      <c r="AR105" s="100"/>
      <c r="AS105" s="100"/>
      <c r="AT105" s="100"/>
      <c r="AU105" s="100"/>
      <c r="AV105" s="100"/>
      <c r="AW105" s="100"/>
      <c r="AX105" s="100"/>
      <c r="AY105" s="100"/>
      <c r="AZ105" s="100"/>
      <c r="BA105" s="100"/>
      <c r="BB105" s="100"/>
      <c r="BC105" s="100"/>
      <c r="BD105" s="100"/>
      <c r="BE105" s="100"/>
      <c r="BF105" s="100"/>
      <c r="BG105" s="100"/>
      <c r="BH105" s="100"/>
      <c r="BI105" s="100"/>
      <c r="BJ105" s="100"/>
      <c r="BK105" s="100"/>
      <c r="BL105" s="100"/>
      <c r="BM105" s="100"/>
      <c r="BN105" s="100"/>
      <c r="BO105" s="100"/>
      <c r="BP105" s="100"/>
      <c r="BQ105" s="100"/>
      <c r="BR105" s="100"/>
      <c r="BS105" s="100"/>
      <c r="BT105" s="100"/>
      <c r="BU105" s="100"/>
      <c r="BV105" s="100"/>
      <c r="BW105" s="100"/>
      <c r="BX105" s="100"/>
      <c r="BY105" s="100"/>
      <c r="BZ105" s="100"/>
      <c r="CA105" s="100"/>
      <c r="CB105" s="100"/>
      <c r="CC105" s="100"/>
      <c r="CD105" s="100"/>
      <c r="CE105" s="100"/>
      <c r="CF105" s="100"/>
      <c r="CG105" s="100"/>
      <c r="CH105" s="100"/>
      <c r="CI105" s="100"/>
      <c r="CJ105" s="100"/>
      <c r="CK105" s="100"/>
      <c r="CL105" s="100"/>
      <c r="CM105" s="100"/>
      <c r="CN105" s="100"/>
      <c r="CO105" s="100"/>
      <c r="CP105" s="100"/>
      <c r="CQ105" s="100"/>
      <c r="CR105" s="100"/>
      <c r="CS105" s="100"/>
      <c r="CT105" s="100"/>
      <c r="CU105" s="100"/>
      <c r="CV105" s="100"/>
    </row>
  </sheetData>
  <mergeCells count="13">
    <mergeCell ref="L5:O5"/>
    <mergeCell ref="P5:P6"/>
    <mergeCell ref="K1:P1"/>
    <mergeCell ref="Q1:V1"/>
    <mergeCell ref="A5:A6"/>
    <mergeCell ref="B5:B6"/>
    <mergeCell ref="C5:C6"/>
    <mergeCell ref="D5:D6"/>
    <mergeCell ref="E5:E6"/>
    <mergeCell ref="F5:F6"/>
    <mergeCell ref="G5:G6"/>
    <mergeCell ref="G1:J1"/>
    <mergeCell ref="H5:K5"/>
  </mergeCells>
  <phoneticPr fontId="12"/>
  <conditionalFormatting sqref="S94:S999">
    <cfRule type="expression" dxfId="11" priority="1" stopIfTrue="1">
      <formula>INDIRECT("S"&amp;ROW())="Pass"</formula>
    </cfRule>
    <cfRule type="expression" dxfId="10" priority="9" stopIfTrue="1">
      <formula>INDIRECT("S"&amp;ROW())="Fail"</formula>
    </cfRule>
  </conditionalFormatting>
  <conditionalFormatting sqref="P8:P999">
    <cfRule type="expression" dxfId="9" priority="2" stopIfTrue="1">
      <formula>INDIRECT("P"&amp;ROW())="Pass"</formula>
    </cfRule>
    <cfRule type="expression" dxfId="8" priority="8" stopIfTrue="1">
      <formula>INDIRECT("P"&amp;ROW())="Fail"</formula>
    </cfRule>
  </conditionalFormatting>
  <conditionalFormatting sqref="L15:L994">
    <cfRule type="expression" dxfId="7" priority="7" stopIfTrue="1">
      <formula>INDIRECT("L"&amp;ROW())="Fail"</formula>
    </cfRule>
  </conditionalFormatting>
  <conditionalFormatting sqref="G7:G994">
    <cfRule type="cellIs" dxfId="6" priority="10" stopIfTrue="1" operator="equal">
      <formula>"Low"</formula>
    </cfRule>
    <cfRule type="cellIs" dxfId="5" priority="11" stopIfTrue="1" operator="equal">
      <formula>"Normal"</formula>
    </cfRule>
    <cfRule type="cellIs" dxfId="4" priority="12" stopIfTrue="1" operator="equal">
      <formula>"High"</formula>
    </cfRule>
  </conditionalFormatting>
  <conditionalFormatting sqref="I7:I999">
    <cfRule type="expression" dxfId="3" priority="5" stopIfTrue="1">
      <formula>INDIRECT("I"&amp;ROW())="Pass"</formula>
    </cfRule>
    <cfRule type="expression" dxfId="2" priority="6" stopIfTrue="1">
      <formula>INDIRECT("I"&amp;ROW())="Fail"</formula>
    </cfRule>
  </conditionalFormatting>
  <conditionalFormatting sqref="L7:L999">
    <cfRule type="expression" dxfId="1" priority="3" stopIfTrue="1">
      <formula>INDIRECT("L"&amp;ROW())="Fail"</formula>
    </cfRule>
    <cfRule type="expression" dxfId="0" priority="4" stopIfTrue="1">
      <formula>INDIRECT("L"&amp;ROW())="Pass"</formula>
    </cfRule>
  </conditionalFormatting>
  <dataValidations count="3">
    <dataValidation type="list" allowBlank="1" showInputMessage="1" showErrorMessage="1" sqref="M18:N93 J32:J93 K93" xr:uid="{63BF5A5E-1CBE-48A3-99F8-277D0089275B}">
      <formula1>$F$2:$I$2</formula1>
    </dataValidation>
    <dataValidation type="list" allowBlank="1" showInputMessage="1" showErrorMessage="1" sqref="L7:L93 P8:P93 I7:I93" xr:uid="{9080B43F-3C5A-4367-BF09-34E2177FF6C7}">
      <formula1>$K$2:$N$2</formula1>
    </dataValidation>
    <dataValidation type="list" allowBlank="1" showInputMessage="1" showErrorMessage="1" sqref="G7:G93" xr:uid="{B4F5E502-DA0C-412B-A991-AB2C26273071}">
      <formula1>"High, Normal, Low"</formula1>
    </dataValidation>
  </dataValidations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8c55fcc-c670-4ac4-8a9b-264c271983b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C9EA54DE8F94487C2A1AB12315691" ma:contentTypeVersion="11" ma:contentTypeDescription="Create a new document." ma:contentTypeScope="" ma:versionID="9ad96d5f56a106dedcadfe98723ee0c3">
  <xsd:schema xmlns:xsd="http://www.w3.org/2001/XMLSchema" xmlns:xs="http://www.w3.org/2001/XMLSchema" xmlns:p="http://schemas.microsoft.com/office/2006/metadata/properties" xmlns:ns2="38c55fcc-c670-4ac4-8a9b-264c271983b2" xmlns:ns3="ea1ab6f7-2cdf-4ac6-8d0c-935587abd710" targetNamespace="http://schemas.microsoft.com/office/2006/metadata/properties" ma:root="true" ma:fieldsID="60d116a7796d181fd721f8edd8de3e6f" ns2:_="" ns3:_="">
    <xsd:import namespace="38c55fcc-c670-4ac4-8a9b-264c271983b2"/>
    <xsd:import namespace="ea1ab6f7-2cdf-4ac6-8d0c-935587abd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c55fcc-c670-4ac4-8a9b-264c27198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4a57264-ac35-4eb0-866e-4f624dc13f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b6f7-2cdf-4ac6-8d0c-935587abd71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4E86E-76EC-4B22-92A0-E3A743C1528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AFF7A5-F3C1-400A-A7C8-AA75592902F2}">
  <ds:schemaRefs>
    <ds:schemaRef ds:uri="http://schemas.microsoft.com/office/2006/metadata/properties"/>
    <ds:schemaRef ds:uri="http://schemas.microsoft.com/office/infopath/2007/PartnerControls"/>
    <ds:schemaRef ds:uri="e1980118-7448-4ead-97fb-a856878e6ae4"/>
    <ds:schemaRef ds:uri="9ddc0750-edb1-4b91-b5bd-a8d23f10e42a"/>
    <ds:schemaRef ds:uri="38c55fcc-c670-4ac4-8a9b-264c271983b2"/>
  </ds:schemaRefs>
</ds:datastoreItem>
</file>

<file path=customXml/itemProps3.xml><?xml version="1.0" encoding="utf-8"?>
<ds:datastoreItem xmlns:ds="http://schemas.openxmlformats.org/officeDocument/2006/customXml" ds:itemID="{C54AE728-40F3-404B-A90C-CAC20CF1D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c55fcc-c670-4ac4-8a9b-264c271983b2"/>
    <ds:schemaRef ds:uri="ea1ab6f7-2cdf-4ac6-8d0c-935587abd7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Report</vt:lpstr>
      <vt:lpstr>Module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Nguyễn Dương Thái (KHN.SBU1.QA1)</cp:lastModifiedBy>
  <cp:revision/>
  <dcterms:created xsi:type="dcterms:W3CDTF">2017-12-28T03:20:00Z</dcterms:created>
  <dcterms:modified xsi:type="dcterms:W3CDTF">2025-09-19T10:00:34Z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0x010100053C9EA54DE8F94487C2A1AB12315691</vt:lpwstr>
  </property>
  <property fmtid="{D5CDD505-2E9C-101B-9397-08002B2CF9AE}" pid="3" name="MediaServiceImageTags">
    <vt:lpwstr/>
  </property>
</Properties>
</file>