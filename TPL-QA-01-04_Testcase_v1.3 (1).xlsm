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ind\Downloads\"/>
    </mc:Choice>
  </mc:AlternateContent>
  <xr:revisionPtr revIDLastSave="0" documentId="13_ncr:1_{9F7DB560-DDE2-4853-897F-E630BF81EE5F}" xr6:coauthVersionLast="47" xr6:coauthVersionMax="47" xr10:uidLastSave="{00000000-0000-0000-0000-000000000000}"/>
  <bookViews>
    <workbookView xWindow="28680" yWindow="-120" windowWidth="29040" windowHeight="15840" tabRatio="732" activeTab="2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8"/>
</workbook>
</file>

<file path=xl/calcChain.xml><?xml version="1.0" encoding="utf-8"?>
<calcChain xmlns="http://schemas.openxmlformats.org/spreadsheetml/2006/main">
  <c r="V7" i="66" l="1"/>
  <c r="U7" i="66"/>
  <c r="S7" i="66"/>
  <c r="T7" i="66"/>
  <c r="R7" i="66"/>
  <c r="Q7" i="66"/>
  <c r="AK10" i="66"/>
  <c r="P7" i="66"/>
  <c r="O7" i="66"/>
  <c r="M7" i="66"/>
  <c r="N7" i="66"/>
  <c r="L7" i="66"/>
  <c r="K7" i="66"/>
  <c r="U10" i="66"/>
  <c r="V6" i="66"/>
  <c r="U6" i="66"/>
  <c r="S6" i="66"/>
  <c r="T6" i="66"/>
  <c r="R6" i="66"/>
  <c r="Q6" i="66"/>
  <c r="AH10" i="66"/>
  <c r="P6" i="66"/>
  <c r="O6" i="66"/>
  <c r="M6" i="66"/>
  <c r="N6" i="66"/>
  <c r="L6" i="66"/>
  <c r="K6" i="66"/>
  <c r="R10" i="66"/>
  <c r="V5" i="66"/>
  <c r="U5" i="66"/>
  <c r="S5" i="66"/>
  <c r="T5" i="66"/>
  <c r="R5" i="66"/>
  <c r="Q5" i="66"/>
  <c r="AE10" i="66"/>
  <c r="P5" i="66"/>
  <c r="O5" i="66"/>
  <c r="M5" i="66"/>
  <c r="N5" i="66"/>
  <c r="L5" i="66"/>
  <c r="K5" i="66"/>
  <c r="O10" i="66"/>
  <c r="V4" i="66"/>
  <c r="U4" i="66"/>
  <c r="S4" i="66"/>
  <c r="T4" i="66"/>
  <c r="R4" i="66"/>
  <c r="Q4" i="66"/>
  <c r="AB10" i="66"/>
  <c r="P4" i="66"/>
  <c r="O4" i="66"/>
  <c r="M4" i="66"/>
  <c r="N4" i="66"/>
  <c r="L4" i="66"/>
  <c r="K4" i="66"/>
  <c r="L10" i="66"/>
  <c r="V3" i="66"/>
  <c r="U3" i="66"/>
  <c r="S3" i="66"/>
  <c r="T3" i="66"/>
  <c r="R3" i="66"/>
  <c r="Q3" i="66"/>
  <c r="Y10" i="66"/>
  <c r="P3" i="66"/>
  <c r="O3" i="66"/>
  <c r="M3" i="66"/>
  <c r="N3" i="66"/>
  <c r="L3" i="66"/>
  <c r="K3" i="66"/>
  <c r="I10" i="66"/>
  <c r="F7" i="66"/>
  <c r="F6" i="66"/>
  <c r="F5" i="66"/>
  <c r="F4" i="66"/>
  <c r="F3" i="66"/>
  <c r="B3" i="66" l="1"/>
  <c r="B2" i="66"/>
  <c r="A17" i="66"/>
  <c r="A16" i="66"/>
  <c r="A15" i="66"/>
  <c r="A14" i="66"/>
  <c r="A12" i="66"/>
  <c r="A11" i="66"/>
  <c r="I3" i="66"/>
  <c r="H3" i="66"/>
  <c r="G3" i="66"/>
  <c r="A13" i="66" l="1"/>
  <c r="J3" i="66"/>
</calcChain>
</file>

<file path=xl/sharedStrings.xml><?xml version="1.0" encoding="utf-8"?>
<sst xmlns="http://schemas.openxmlformats.org/spreadsheetml/2006/main" count="83" uniqueCount="55">
  <si>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</si>
  <si>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</si>
  <si>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</si>
  <si>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</si>
  <si>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</si>
  <si>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</si>
  <si>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</si>
  <si>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</si>
  <si>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</si>
  <si>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</si>
  <si>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</si>
  <si>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</si>
  <si>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</si>
  <si>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</si>
  <si>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</si>
  <si>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</si>
  <si>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</si>
  <si>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</si>
  <si>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</si>
  <si>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</si>
  <si>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</si>
  <si>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</si>
  <si>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</si>
  <si>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</si>
  <si>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</si>
  <si>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</si>
  <si>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</si>
  <si>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</si>
  <si>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</si>
  <si>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</si>
  <si>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Module 1</t>
    <phoneticPr fontId="12"/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</si>
  <si>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</si>
  <si>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</si>
  <si>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</si>
  <si>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</si>
  <si>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</si>
  <si>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</si>
  <si>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</si>
  <si>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</si>
  <si>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</si>
  <si>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</si>
  <si>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</si>
  <si>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</si>
  <si>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</si>
  <si>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</si>
  <si>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</si>
  <si>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Test result round 1</t>
    <phoneticPr fontId="12"/>
  </si>
  <si>
    <t>Test result round 2</t>
    <phoneticPr fontId="12"/>
  </si>
  <si>
    <t>BugID</t>
    <phoneticPr fontId="12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</si>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</sst>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"/>
  </numFmts>
  <fonts count="19">
    <font>
      <sz val="11"/>
      <color theme="1"/>
      <name val="ＭＳ Ｐゴシック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ＭＳ Ｐゴシック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</fills>
  <borders count="14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76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76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76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 vertical="center"/>
    </xf>
    <xf numFmtId="49" fontId="4" fillId="8" borderId="0" xfId="0" applyNumberFormat="1" applyFont="1" applyFill="1" applyAlignment="1">
      <alignment vertical="center" wrapText="1"/>
    </xf>
    <xf numFmtId="176" fontId="11" fillId="9" borderId="13" xfId="0" applyNumberFormat="1" applyFont="1" applyFill="1" applyBorder="1" applyAlignment="1">
      <alignment horizontal="center" vertical="center" wrapText="1"/>
    </xf>
    <xf numFmtId="0" fontId="4" fillId="7" borderId="13" xfId="0" applyFont="1" applyFill="1" applyBorder="1" applyAlignment="1">
      <alignment horizontal="center" vertical="center" wrapText="1"/>
    </xf>
    <xf numFmtId="9" fontId="4" fillId="7" borderId="13" xfId="0" applyNumberFormat="1" applyFont="1" applyFill="1" applyBorder="1" applyAlignment="1">
      <alignment horizontal="center" vertical="center" wrapText="1"/>
    </xf>
    <xf numFmtId="176" fontId="11" fillId="9" borderId="12" xfId="0" applyNumberFormat="1" applyFont="1" applyFill="1" applyBorder="1" applyAlignment="1">
      <alignment horizontal="center" vertical="center" wrapText="1"/>
    </xf>
    <xf numFmtId="0" fontId="4" fillId="7" borderId="12" xfId="0" applyFont="1" applyFill="1" applyBorder="1" applyAlignment="1">
      <alignment horizontal="center" vertical="center" wrapText="1"/>
    </xf>
    <xf numFmtId="9" fontId="4" fillId="7" borderId="12" xfId="0" applyNumberFormat="1" applyFont="1" applyFill="1" applyBorder="1" applyAlignment="1">
      <alignment horizontal="center" vertical="center" wrapText="1"/>
    </xf>
    <xf numFmtId="0" fontId="4" fillId="0" borderId="11" xfId="0" applyFont="1" applyBorder="1" applyAlignment="1">
      <alignment vertical="center" wrapText="1"/>
    </xf>
    <xf numFmtId="14" fontId="4" fillId="0" borderId="11" xfId="0" applyNumberFormat="1" applyFont="1" applyBorder="1" applyAlignment="1">
      <alignment vertical="center" wrapText="1"/>
    </xf>
    <xf numFmtId="0" fontId="0" fillId="0" borderId="11" xfId="0" applyBorder="1"/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176" fontId="11" fillId="9" borderId="11" xfId="0" applyNumberFormat="1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right" vertical="center" wrapText="1"/>
    </xf>
    <xf numFmtId="0" fontId="0" fillId="0" borderId="12" xfId="0" applyBorder="1" applyAlignment="1">
      <alignment horizontal="right" vertical="center" wrapText="1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176" fontId="11" fillId="6" borderId="3" xfId="0" applyNumberFormat="1" applyFont="1" applyFill="1" applyBorder="1" applyAlignment="1">
      <alignment horizontal="center" vertical="center" wrapText="1"/>
    </xf>
    <xf numFmtId="176" fontId="11" fillId="6" borderId="6" xfId="0" applyNumberFormat="1" applyFont="1" applyFill="1" applyBorder="1" applyAlignment="1">
      <alignment horizontal="center" vertical="center" wrapText="1"/>
    </xf>
    <xf numFmtId="176" fontId="11" fillId="6" borderId="7" xfId="0" applyNumberFormat="1" applyFont="1" applyFill="1" applyBorder="1" applyAlignment="1">
      <alignment horizontal="center" vertical="center" wrapText="1"/>
    </xf>
    <xf numFmtId="176" fontId="11" fillId="6" borderId="8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9525</xdr:rowOff>
        </xdr:from>
        <xdr:to>
          <xdr:col>5</xdr:col>
          <xdr:colOff>419100</xdr:colOff>
          <xdr:row>6</xdr:row>
          <xdr:rowOff>28575</xdr:rowOff>
        </xdr:to>
        <xdr:sp macro="" textlink="">
          <xdr:nvSpPr>
            <xdr:cNvPr id="2050" name="Button 2" descr="TẠO TEMPLA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75" defaultRowHeight="15.75"/>
  <cols>
    <col min="1" max="1" width="4.875" style="5" customWidth="1"/>
    <col min="2" max="2" width="16" style="5" customWidth="1"/>
    <col min="3" max="3" width="9" style="5" customWidth="1"/>
    <col min="4" max="4" width="22.375" style="5" customWidth="1"/>
    <col min="5" max="5" width="9.375" style="5" customWidth="1"/>
    <col min="6" max="6" width="18.625" style="5" customWidth="1"/>
    <col min="7" max="7" width="18.375" style="5" customWidth="1"/>
    <col min="8" max="8" width="12.875" style="5" customWidth="1"/>
    <col min="9" max="16384" width="8.875" style="5"/>
  </cols>
  <sheetData>
    <row r="1" spans="1:8" ht="39.75" customHeight="1">
      <c r="A1" s="8"/>
      <c r="B1" s="7"/>
      <c r="C1" s="9"/>
      <c r="D1" s="12" t="s">
        <v>0</v>
      </c>
      <c r="E1" s="9"/>
      <c r="F1" s="9"/>
      <c r="G1" s="9"/>
      <c r="H1" s="6"/>
    </row>
    <row r="2" spans="1:8">
      <c r="A2" s="8"/>
      <c r="B2" s="7"/>
      <c r="C2" s="9"/>
      <c r="D2" s="9"/>
      <c r="E2" s="9"/>
      <c r="F2" s="9"/>
      <c r="G2" s="9"/>
      <c r="H2" s="6"/>
    </row>
    <row r="3" spans="1:8">
      <c r="A3" s="8"/>
      <c r="B3" s="52" t="s">
        <v>1</v>
      </c>
      <c r="C3" s="52"/>
      <c r="D3" s="21" t="s">
        <v>2</v>
      </c>
      <c r="E3" s="52" t="s">
        <v>3</v>
      </c>
      <c r="F3" s="52"/>
      <c r="G3" s="53" t="s">
        <v>4</v>
      </c>
      <c r="H3" s="54"/>
    </row>
    <row r="4" spans="1:8">
      <c r="A4" s="8"/>
      <c r="B4" s="52" t="s">
        <v>5</v>
      </c>
      <c r="C4" s="52"/>
      <c r="D4" s="21" t="s">
        <v>6</v>
      </c>
      <c r="E4" s="52" t="s">
        <v>7</v>
      </c>
      <c r="F4" s="52"/>
      <c r="G4" s="55"/>
      <c r="H4" s="56"/>
    </row>
    <row r="5" spans="1:8">
      <c r="A5" s="8"/>
      <c r="B5" s="7"/>
      <c r="C5" s="9"/>
      <c r="D5" s="9"/>
      <c r="E5" s="9"/>
      <c r="F5" s="9"/>
      <c r="G5" s="9"/>
      <c r="H5" s="6"/>
    </row>
    <row r="6" spans="1:8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>
      <c r="A8" s="8"/>
      <c r="B8" s="23"/>
      <c r="C8" s="24"/>
      <c r="D8" s="25"/>
      <c r="E8" s="26"/>
      <c r="F8" s="27"/>
      <c r="G8" s="23"/>
      <c r="H8" s="28"/>
    </row>
    <row r="9" spans="1:8">
      <c r="A9" s="8"/>
      <c r="B9" s="29"/>
      <c r="C9" s="24"/>
      <c r="D9" s="25"/>
      <c r="E9" s="26"/>
      <c r="F9" s="27"/>
      <c r="G9" s="25"/>
      <c r="H9" s="28"/>
    </row>
    <row r="10" spans="1:8">
      <c r="A10" s="8"/>
      <c r="B10" s="29"/>
      <c r="C10" s="24"/>
      <c r="D10" s="25"/>
      <c r="E10" s="26"/>
      <c r="F10" s="27"/>
      <c r="G10" s="25"/>
      <c r="H10" s="28"/>
    </row>
    <row r="11" spans="1:8">
      <c r="A11" s="8"/>
      <c r="B11" s="29"/>
      <c r="C11" s="24"/>
      <c r="D11" s="25"/>
      <c r="E11" s="26"/>
      <c r="F11" s="27"/>
      <c r="G11" s="25"/>
      <c r="H11" s="28"/>
    </row>
    <row r="12" spans="1:8">
      <c r="A12" s="8"/>
      <c r="B12" s="29"/>
      <c r="C12" s="24"/>
      <c r="D12" s="25"/>
      <c r="E12" s="26"/>
      <c r="F12" s="27"/>
      <c r="G12" s="25"/>
      <c r="H12" s="28"/>
    </row>
    <row r="13" spans="1:8">
      <c r="A13" s="8"/>
      <c r="B13" s="29"/>
      <c r="C13" s="24"/>
      <c r="D13" s="25"/>
      <c r="E13" s="26"/>
      <c r="F13" s="27"/>
      <c r="G13" s="25"/>
      <c r="H13" s="28"/>
    </row>
    <row r="14" spans="1:8">
      <c r="A14" s="8"/>
      <c r="B14" s="29"/>
      <c r="C14" s="24"/>
      <c r="D14" s="25"/>
      <c r="E14" s="26"/>
      <c r="F14" s="27"/>
      <c r="G14" s="25"/>
      <c r="H14" s="28"/>
    </row>
    <row r="15" spans="1:8">
      <c r="A15" s="8"/>
      <c r="B15" s="29"/>
      <c r="C15" s="24"/>
      <c r="D15" s="25"/>
      <c r="E15" s="26"/>
      <c r="F15" s="27"/>
      <c r="G15" s="25"/>
      <c r="H15" s="28"/>
    </row>
    <row r="16" spans="1:8">
      <c r="A16" s="8"/>
      <c r="B16" s="29"/>
      <c r="C16" s="24"/>
      <c r="D16" s="25"/>
      <c r="E16" s="26"/>
      <c r="F16" s="27"/>
      <c r="G16" s="25"/>
      <c r="H16" s="28"/>
    </row>
    <row r="17" spans="1:8">
      <c r="A17" s="8"/>
      <c r="B17" s="29"/>
      <c r="C17" s="24"/>
      <c r="D17" s="25"/>
      <c r="E17" s="26"/>
      <c r="F17" s="27"/>
      <c r="G17" s="25"/>
      <c r="H17" s="28"/>
    </row>
    <row r="18" spans="1:8">
      <c r="A18" s="8"/>
      <c r="B18" s="29"/>
      <c r="C18" s="24"/>
      <c r="D18" s="25"/>
      <c r="E18" s="26"/>
      <c r="F18" s="27"/>
      <c r="G18" s="25"/>
      <c r="H18" s="28"/>
    </row>
    <row r="19" spans="1:8">
      <c r="A19" s="8"/>
      <c r="B19" s="8"/>
      <c r="C19" s="8"/>
      <c r="D19" s="8"/>
      <c r="E19" s="8"/>
      <c r="F19" s="8"/>
      <c r="G19" s="8"/>
      <c r="H19" s="6"/>
    </row>
    <row r="20" spans="1:8">
      <c r="A20" s="8"/>
      <c r="B20" s="8"/>
      <c r="C20" s="8"/>
      <c r="D20" s="8"/>
      <c r="E20" s="8"/>
      <c r="F20" s="8"/>
      <c r="G20" s="8"/>
      <c r="H20" s="6"/>
    </row>
    <row r="21" spans="1:8">
      <c r="A21" s="8"/>
      <c r="B21" s="8"/>
      <c r="C21" s="8"/>
      <c r="D21" s="8"/>
      <c r="E21" s="8"/>
      <c r="F21" s="8"/>
      <c r="G21" s="8"/>
      <c r="H21" s="6"/>
    </row>
    <row r="22" spans="1:8">
      <c r="A22" s="8"/>
      <c r="B22" s="8"/>
      <c r="C22" s="8"/>
      <c r="D22" s="8"/>
      <c r="E22" s="8"/>
      <c r="F22" s="8"/>
      <c r="G22" s="8"/>
      <c r="H22" s="6"/>
    </row>
    <row r="23" spans="1:8">
      <c r="A23" s="8"/>
      <c r="B23" s="8"/>
      <c r="C23" s="8"/>
      <c r="D23" s="8"/>
      <c r="E23" s="8"/>
      <c r="F23" s="8"/>
      <c r="G23" s="8"/>
      <c r="H23" s="6"/>
    </row>
    <row r="24" spans="1:8">
      <c r="A24" s="8"/>
      <c r="B24" s="8"/>
      <c r="C24" s="8"/>
      <c r="D24" s="8"/>
      <c r="E24" s="8"/>
      <c r="F24" s="8"/>
      <c r="G24" s="8"/>
      <c r="H24" s="6"/>
    </row>
    <row r="25" spans="1:8">
      <c r="A25" s="8"/>
      <c r="B25" s="8"/>
      <c r="C25" s="8"/>
      <c r="D25" s="8"/>
      <c r="E25" s="8"/>
      <c r="F25" s="8"/>
      <c r="G25" s="8"/>
      <c r="H25" s="6"/>
    </row>
    <row r="26" spans="1:8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1:S1"/>
  <sheetViews>
    <sheetView zoomScale="90" zoomScaleNormal="90" zoomScalePageLayoutView="180" workbookViewId="0">
      <selection activeCell="K11" sqref="K11"/>
    </sheetView>
  </sheetViews>
  <sheetFormatPr defaultColWidth="8.625" defaultRowHeight="15.75"/>
  <cols>
    <col min="1" max="7" width="8.625" style="13"/>
    <col min="8" max="8" width="8.625" style="14"/>
    <col min="9" max="12" width="8.625" style="13"/>
    <col min="13" max="13" width="8.625" style="14"/>
    <col min="14" max="17" width="8.625" style="13"/>
    <col min="18" max="19" width="8.625" style="14"/>
    <col min="20" max="16384" width="8.625" style="13"/>
  </cols>
  <sheetData/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TemplateAllSheet" altText="TẠO TEMPLATE">
                <anchor moveWithCells="1" sizeWithCells="1">
                  <from>
                    <xdr:col>0</xdr:col>
                    <xdr:colOff>314325</xdr:colOff>
                    <xdr:row>1</xdr:row>
                    <xdr:rowOff>9525</xdr:rowOff>
                  </from>
                  <to>
                    <xdr:col>5</xdr:col>
                    <xdr:colOff>419100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BJ109"/>
  <sheetViews>
    <sheetView tabSelected="1" zoomScale="90" zoomScaleNormal="90" zoomScalePageLayoutView="180" workbookViewId="0">
      <selection activeCell="C16" sqref="C16"/>
    </sheetView>
  </sheetViews>
  <sheetFormatPr defaultColWidth="8.875" defaultRowHeight="13.5"/>
  <cols>
    <col min="1" max="1" width="20.75" customWidth="1"/>
    <col min="2" max="2" width="15.125" customWidth="1"/>
    <col min="3" max="3" width="22.125" customWidth="1"/>
    <col min="4" max="4" width="26.125" customWidth="1"/>
    <col min="5" max="5" width="14.625" customWidth="1"/>
    <col min="6" max="6" width="26.625" customWidth="1"/>
    <col min="7" max="7" width="11.375" customWidth="1"/>
    <col min="8" max="8" width="13.375" customWidth="1"/>
    <col min="9" max="9" width="10.875" customWidth="1"/>
    <col min="10" max="10" width="14.125" customWidth="1"/>
    <col min="11" max="11" width="12.75" customWidth="1"/>
    <col min="12" max="12" width="9.625" customWidth="1"/>
    <col min="13" max="13" width="13.75" customWidth="1"/>
    <col min="14" max="14" width="14.75" customWidth="1"/>
    <col min="15" max="15" width="13.375" customWidth="1"/>
    <col min="16" max="18" width="10.875" customWidth="1"/>
    <col min="19" max="19" width="11.125" customWidth="1"/>
    <col min="20" max="20" width="10.375" customWidth="1"/>
    <col min="21" max="21" width="11.625" customWidth="1"/>
    <col min="22" max="22" width="13.375" customWidth="1"/>
    <col min="23" max="23" width="19.375" customWidth="1"/>
  </cols>
  <sheetData>
    <row r="1" spans="1:62" ht="30.75" customHeight="1">
      <c r="A1" s="3" t="s">
        <v>29</v>
      </c>
      <c r="B1" s="30" t="s">
        <v>30</v>
      </c>
      <c r="C1" s="4" t="s">
        <v>31</v>
      </c>
      <c r="D1" s="30"/>
      <c r="E1" s="1"/>
      <c r="F1" s="31" t="s">
        <v>23</v>
      </c>
      <c r="G1" s="66" t="s">
        <v>32</v>
      </c>
      <c r="H1" s="67"/>
      <c r="I1" s="67"/>
      <c r="J1" s="68"/>
      <c r="K1" s="61" t="s">
        <v>17</v>
      </c>
      <c r="L1" s="62"/>
      <c r="M1" s="62"/>
      <c r="N1" s="62"/>
      <c r="O1" s="62"/>
      <c r="P1" s="63"/>
      <c r="Q1" s="61" t="s">
        <v>33</v>
      </c>
      <c r="R1" s="62"/>
      <c r="S1" s="62"/>
      <c r="T1" s="62"/>
      <c r="U1" s="62"/>
      <c r="V1" s="63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62" ht="31.5">
      <c r="A2" s="3" t="s">
        <v>34</v>
      </c>
      <c r="B2" s="39" t="str">
        <f>Cover!D3</f>
        <v>Nhập tên dự án</v>
      </c>
      <c r="C2" s="4" t="s">
        <v>35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36</v>
      </c>
      <c r="P2" s="31" t="s">
        <v>37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38</v>
      </c>
      <c r="V2" s="31" t="s">
        <v>37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62" ht="15.75">
      <c r="A3" s="3" t="s">
        <v>5</v>
      </c>
      <c r="B3" s="39" t="str">
        <f>Cover!D4</f>
        <v xml:space="preserve">Nhâp tên phase </v>
      </c>
      <c r="C3" s="4" t="s">
        <v>39</v>
      </c>
      <c r="D3" s="32"/>
      <c r="E3" s="1"/>
      <c r="F3" s="43" t="e">
        <f>Report!#REF!</f>
        <v>#REF!</v>
      </c>
      <c r="G3" s="59">
        <f>COUNTIF(G11:G1003,"High")</f>
        <v>1</v>
      </c>
      <c r="H3" s="59">
        <f>COUNTIF(G11:G1003,"Normal")</f>
        <v>1</v>
      </c>
      <c r="I3" s="59">
        <f>COUNTIF(G11:G1003,"Low")</f>
        <v>1</v>
      </c>
      <c r="J3" s="59">
        <f>SUM(G3:I3)</f>
        <v>3</v>
      </c>
      <c r="K3" s="44">
        <f>COUNTIF(I11:I1011,"Pass")</f>
        <v>0</v>
      </c>
      <c r="L3" s="44">
        <f>COUNTIF(I11:I1011,"Fail")</f>
        <v>0</v>
      </c>
      <c r="M3" s="44">
        <f>J3-K3-L3-N3</f>
        <v>3</v>
      </c>
      <c r="N3" s="44">
        <f>COUNTIF(I11:I1011,"Rejected")</f>
        <v>0</v>
      </c>
      <c r="O3" s="45">
        <f>(K3+L3)/(J3-N3)</f>
        <v>0</v>
      </c>
      <c r="P3" s="45">
        <f>K3/(J3-N3)</f>
        <v>0</v>
      </c>
      <c r="Q3" s="44">
        <f>COUNTIF(Y11:Y1010,"Pass")</f>
        <v>0</v>
      </c>
      <c r="R3" s="44">
        <f>COUNTIF(Y11:Y1010,"Fail")</f>
        <v>0</v>
      </c>
      <c r="S3" s="44">
        <f>J3-Q3-R3-T3</f>
        <v>3</v>
      </c>
      <c r="T3" s="44">
        <f>COUNTIF(Y11:Y1010,"Rejected")</f>
        <v>0</v>
      </c>
      <c r="U3" s="45">
        <f>(Q3+R3)/(J3-T3)</f>
        <v>0</v>
      </c>
      <c r="V3" s="45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62" ht="15.75">
      <c r="A4" s="3"/>
      <c r="B4" s="42"/>
      <c r="C4" s="4"/>
      <c r="D4" s="1"/>
      <c r="E4" s="1"/>
      <c r="F4" s="46" t="e">
        <f>Report!#REF!</f>
        <v>#REF!</v>
      </c>
      <c r="G4" s="60"/>
      <c r="H4" s="60"/>
      <c r="I4" s="60"/>
      <c r="J4" s="60"/>
      <c r="K4" s="47">
        <f>COUNTIF(L11:L1011,"Pass")</f>
        <v>0</v>
      </c>
      <c r="L4" s="47">
        <f>COUNTIF(L11:L1011,"Fail")</f>
        <v>0</v>
      </c>
      <c r="M4" s="47">
        <f>J3-K4-L4-N4</f>
        <v>3</v>
      </c>
      <c r="N4" s="47">
        <f>COUNTIF(L11:L1011,"Rejected")</f>
        <v>0</v>
      </c>
      <c r="O4" s="48">
        <f>(K4+L4)/(J3-N4)</f>
        <v>0</v>
      </c>
      <c r="P4" s="48">
        <f>K4/(J3-N4)</f>
        <v>0</v>
      </c>
      <c r="Q4" s="47">
        <f>COUNTIF(AB11:AB1010,"Pass")</f>
        <v>0</v>
      </c>
      <c r="R4" s="47">
        <f>COUNTIF(AB11:AB1010,"Fail")</f>
        <v>0</v>
      </c>
      <c r="S4" s="47">
        <f>J3-Q4-R4-T4</f>
        <v>3</v>
      </c>
      <c r="T4" s="47">
        <f>COUNTIF(AB11:AB1010,"Rejected")</f>
        <v>0</v>
      </c>
      <c r="U4" s="48">
        <f>(Q4+R4)/(J3-T4)</f>
        <v>0</v>
      </c>
      <c r="V4" s="48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62" ht="15.75">
      <c r="A5" s="3"/>
      <c r="B5" s="42"/>
      <c r="C5" s="4"/>
      <c r="D5" s="1"/>
      <c r="E5" s="1"/>
      <c r="F5" s="46" t="e">
        <f>Report!#REF!</f>
        <v>#REF!</v>
      </c>
      <c r="G5" s="60"/>
      <c r="H5" s="60"/>
      <c r="I5" s="60"/>
      <c r="J5" s="60"/>
      <c r="K5" s="47">
        <f>COUNTIF(O11:O1011,"Pass")</f>
        <v>0</v>
      </c>
      <c r="L5" s="47">
        <f>COUNTIF(O11:O1011,"Fail")</f>
        <v>0</v>
      </c>
      <c r="M5" s="47">
        <f>J3-K5-L5-N5</f>
        <v>3</v>
      </c>
      <c r="N5" s="47">
        <f>COUNTIF(O11:O1011,"Rejected")</f>
        <v>0</v>
      </c>
      <c r="O5" s="48">
        <f>(K5+L5)/(J3-N5)</f>
        <v>0</v>
      </c>
      <c r="P5" s="48">
        <f>K5/(J3-N5)</f>
        <v>0</v>
      </c>
      <c r="Q5" s="47">
        <f>COUNTIF(AE11:AE1010,"Pass")</f>
        <v>0</v>
      </c>
      <c r="R5" s="47">
        <f>COUNTIF(AE11:AE1010,"Fail")</f>
        <v>0</v>
      </c>
      <c r="S5" s="47">
        <f>J3-Q5-R5-T5</f>
        <v>3</v>
      </c>
      <c r="T5" s="47">
        <f>COUNTIF(AE11:AE1010,"Rejected")</f>
        <v>0</v>
      </c>
      <c r="U5" s="48">
        <f>(Q5+R5)/(J3-T5)</f>
        <v>0</v>
      </c>
      <c r="V5" s="48">
        <f>Q5/(J3-T5)</f>
        <v>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</row>
    <row r="6" spans="1:62" ht="15.75">
      <c r="A6" s="3"/>
      <c r="B6" s="42"/>
      <c r="C6" s="4"/>
      <c r="D6" s="1"/>
      <c r="E6" s="1"/>
      <c r="F6" s="46" t="e">
        <f>Report!#REF!</f>
        <v>#REF!</v>
      </c>
      <c r="G6" s="60"/>
      <c r="H6" s="60"/>
      <c r="I6" s="60"/>
      <c r="J6" s="60"/>
      <c r="K6" s="47">
        <f>COUNTIF(R11:R1011,"Pass")</f>
        <v>0</v>
      </c>
      <c r="L6" s="47">
        <f>COUNTIF(R11:R1011,"Fail")</f>
        <v>0</v>
      </c>
      <c r="M6" s="47">
        <f>J3-K6-L6-N6</f>
        <v>3</v>
      </c>
      <c r="N6" s="47">
        <f>COUNTIF(R11:R1011,"Rejected")</f>
        <v>0</v>
      </c>
      <c r="O6" s="48">
        <f>(K6+L6)/(J3-N6)</f>
        <v>0</v>
      </c>
      <c r="P6" s="48">
        <f>K6/(J3-N6)</f>
        <v>0</v>
      </c>
      <c r="Q6" s="47">
        <f>COUNTIF(AH11:AH1010,"Pass")</f>
        <v>0</v>
      </c>
      <c r="R6" s="47">
        <f>COUNTIF(AH11:AH1010,"Fail")</f>
        <v>0</v>
      </c>
      <c r="S6" s="47">
        <f>J3-Q6-R6-T6</f>
        <v>3</v>
      </c>
      <c r="T6" s="47">
        <f>COUNTIF(AH11:AH1010,"Rejected")</f>
        <v>0</v>
      </c>
      <c r="U6" s="48">
        <f>(Q6+R6)/(J3-T6)</f>
        <v>0</v>
      </c>
      <c r="V6" s="48">
        <f>Q6/(J3-T6)</f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</row>
    <row r="7" spans="1:62" ht="15.75">
      <c r="A7" s="3"/>
      <c r="B7" s="42"/>
      <c r="C7" s="4"/>
      <c r="D7" s="1"/>
      <c r="E7" s="1"/>
      <c r="F7" s="46" t="e">
        <f>Report!#REF!</f>
        <v>#REF!</v>
      </c>
      <c r="G7" s="60"/>
      <c r="H7" s="60"/>
      <c r="I7" s="60"/>
      <c r="J7" s="60"/>
      <c r="K7" s="47">
        <f>COUNTIF(U11:U1011,"Pass")</f>
        <v>0</v>
      </c>
      <c r="L7" s="47">
        <f>COUNTIF(U11:U1011,"Fail")</f>
        <v>0</v>
      </c>
      <c r="M7" s="47">
        <f>J3-K7-L7-N7</f>
        <v>3</v>
      </c>
      <c r="N7" s="47">
        <f>COUNTIF(U11:U1011,"Rejected")</f>
        <v>0</v>
      </c>
      <c r="O7" s="48">
        <f>(K7+L7)/(J3-N7)</f>
        <v>0</v>
      </c>
      <c r="P7" s="48">
        <f>K7/(J3-N7)</f>
        <v>0</v>
      </c>
      <c r="Q7" s="47">
        <f>COUNTIF(AK11:AK1010,"Pass")</f>
        <v>0</v>
      </c>
      <c r="R7" s="47">
        <f>COUNTIF(AK11:AK1010,"Fail")</f>
        <v>0</v>
      </c>
      <c r="S7" s="47">
        <f>J3-Q7-R7-T7</f>
        <v>3</v>
      </c>
      <c r="T7" s="47">
        <f>COUNTIF(AK11:AK1010,"Rejected")</f>
        <v>0</v>
      </c>
      <c r="U7" s="48">
        <f>(Q7+R7)/(J3-T7)</f>
        <v>0</v>
      </c>
      <c r="V7" s="48">
        <f>Q7/(J3-T7)</f>
        <v>0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</row>
    <row r="8" spans="1:62" ht="15.75">
      <c r="A8" s="1"/>
      <c r="B8" s="1"/>
      <c r="C8" s="2"/>
      <c r="D8" s="1"/>
      <c r="E8" s="1"/>
      <c r="F8" s="2"/>
      <c r="G8" s="2"/>
      <c r="H8" s="1"/>
      <c r="I8" s="20"/>
      <c r="J8" s="20"/>
      <c r="K8" s="20"/>
      <c r="L8" s="20"/>
      <c r="M8" s="20"/>
      <c r="N8" s="20"/>
      <c r="O8" s="1"/>
      <c r="P8" s="20"/>
      <c r="Q8" s="20"/>
      <c r="R8" s="20"/>
      <c r="S8" s="20"/>
      <c r="T8" s="20"/>
      <c r="U8" s="20"/>
      <c r="V8" s="1"/>
      <c r="W8" s="18"/>
    </row>
    <row r="9" spans="1:62" ht="15.75" customHeight="1">
      <c r="A9" s="64" t="s">
        <v>40</v>
      </c>
      <c r="B9" s="64" t="s">
        <v>41</v>
      </c>
      <c r="C9" s="64" t="s">
        <v>54</v>
      </c>
      <c r="D9" s="64" t="s">
        <v>42</v>
      </c>
      <c r="E9" s="64" t="s">
        <v>43</v>
      </c>
      <c r="F9" s="64" t="s">
        <v>44</v>
      </c>
      <c r="G9" s="66" t="s">
        <v>45</v>
      </c>
      <c r="H9" s="57" t="s">
        <v>46</v>
      </c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 t="s">
        <v>47</v>
      </c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 t="s">
        <v>28</v>
      </c>
    </row>
    <row r="10" spans="1:62" ht="15.75">
      <c r="A10" s="65"/>
      <c r="B10" s="65"/>
      <c r="C10" s="65"/>
      <c r="D10" s="65"/>
      <c r="E10" s="65"/>
      <c r="F10" s="65"/>
      <c r="G10" s="66"/>
      <c r="H10" s="40" t="s">
        <v>48</v>
      </c>
      <c r="I10" s="40" t="e">
        <f>Report!#REF!</f>
        <v>#REF!</v>
      </c>
      <c r="J10" s="40" t="s">
        <v>27</v>
      </c>
      <c r="K10" s="40" t="s">
        <v>49</v>
      </c>
      <c r="L10" s="40" t="e">
        <f>Report!#REF!</f>
        <v>#REF!</v>
      </c>
      <c r="M10" s="40" t="s">
        <v>27</v>
      </c>
      <c r="N10" s="40" t="s">
        <v>49</v>
      </c>
      <c r="O10" s="40" t="e">
        <f>Report!#REF!</f>
        <v>#REF!</v>
      </c>
      <c r="P10" s="41" t="s">
        <v>27</v>
      </c>
      <c r="Q10" s="41" t="s">
        <v>49</v>
      </c>
      <c r="R10" s="41" t="e">
        <f>Report!#REF!</f>
        <v>#REF!</v>
      </c>
      <c r="S10" s="41" t="s">
        <v>27</v>
      </c>
      <c r="T10" s="41" t="s">
        <v>49</v>
      </c>
      <c r="U10" s="41" t="e">
        <f>Report!#REF!</f>
        <v>#REF!</v>
      </c>
      <c r="V10" s="41" t="s">
        <v>27</v>
      </c>
      <c r="W10" s="41" t="s">
        <v>49</v>
      </c>
      <c r="X10" s="41" t="s">
        <v>48</v>
      </c>
      <c r="Y10" s="41" t="e">
        <f>Report!#REF!</f>
        <v>#REF!</v>
      </c>
      <c r="Z10" s="41" t="s">
        <v>27</v>
      </c>
      <c r="AA10" s="41" t="s">
        <v>49</v>
      </c>
      <c r="AB10" s="41" t="e">
        <f>Report!#REF!</f>
        <v>#REF!</v>
      </c>
      <c r="AC10" s="41" t="s">
        <v>27</v>
      </c>
      <c r="AD10" s="41" t="s">
        <v>49</v>
      </c>
      <c r="AE10" s="41" t="e">
        <f>Report!#REF!</f>
        <v>#REF!</v>
      </c>
      <c r="AF10" s="41" t="s">
        <v>27</v>
      </c>
      <c r="AG10" s="41" t="s">
        <v>49</v>
      </c>
      <c r="AH10" s="41" t="e">
        <f>Report!#REF!</f>
        <v>#REF!</v>
      </c>
      <c r="AI10" s="41" t="s">
        <v>27</v>
      </c>
      <c r="AJ10" s="41" t="s">
        <v>49</v>
      </c>
      <c r="AK10" s="41" t="e">
        <f>Report!#REF!</f>
        <v>#REF!</v>
      </c>
      <c r="AL10" s="41" t="s">
        <v>27</v>
      </c>
      <c r="AM10" s="41" t="s">
        <v>49</v>
      </c>
      <c r="AN10" s="58"/>
    </row>
    <row r="11" spans="1:62" ht="189">
      <c r="A11" s="33" t="str">
        <f>IF(G11&lt;&gt;"",""&amp;TEXT($B$1,"##")&amp;"-"&amp; (ROW()-5)-COUNTBLANK(G$9:G11),"")</f>
        <v>Module 1-5</v>
      </c>
      <c r="B11" s="33" t="s">
        <v>50</v>
      </c>
      <c r="C11" s="33" t="s">
        <v>51</v>
      </c>
      <c r="D11" s="33" t="s">
        <v>52</v>
      </c>
      <c r="E11" s="34"/>
      <c r="F11" s="34" t="s">
        <v>53</v>
      </c>
      <c r="G11" s="35" t="s">
        <v>24</v>
      </c>
      <c r="H11" s="49"/>
      <c r="I11" s="49"/>
      <c r="J11" s="49"/>
      <c r="K11" s="50"/>
      <c r="L11" s="49"/>
      <c r="M11" s="49"/>
      <c r="N11" s="49"/>
      <c r="O11" s="49"/>
      <c r="P11" s="49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</row>
    <row r="12" spans="1:62" ht="15.75">
      <c r="A12" s="33" t="str">
        <f>IF(G12&lt;&gt;"",""&amp;TEXT($B$1,"##")&amp;"-"&amp; (ROW()-5)-COUNTBLANK(G$9:G12),"")</f>
        <v>Module 1-6</v>
      </c>
      <c r="B12" s="33"/>
      <c r="C12" s="33"/>
      <c r="D12" s="33"/>
      <c r="E12" s="34"/>
      <c r="F12" s="34"/>
      <c r="G12" s="35" t="s">
        <v>25</v>
      </c>
      <c r="H12" s="49"/>
      <c r="I12" s="49"/>
      <c r="J12" s="49"/>
      <c r="K12" s="50"/>
      <c r="L12" s="49"/>
      <c r="M12" s="49"/>
      <c r="N12" s="49"/>
      <c r="O12" s="49"/>
      <c r="P12" s="49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</row>
    <row r="13" spans="1:62" ht="15.75">
      <c r="A13" s="33" t="str">
        <f>IF(G13&lt;&gt;"",""&amp;TEXT($B$1,"##")&amp;"-"&amp; (ROW()-5)-COUNTBLANK(G$9:G13),"")</f>
        <v>Module 1-7</v>
      </c>
      <c r="B13" s="33"/>
      <c r="C13" s="33"/>
      <c r="D13" s="33"/>
      <c r="E13" s="34"/>
      <c r="F13" s="34"/>
      <c r="G13" s="35" t="s">
        <v>26</v>
      </c>
      <c r="H13" s="49"/>
      <c r="I13" s="49"/>
      <c r="J13" s="49"/>
      <c r="K13" s="50"/>
      <c r="L13" s="49"/>
      <c r="M13" s="49"/>
      <c r="N13" s="49"/>
      <c r="O13" s="49"/>
      <c r="P13" s="49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</row>
    <row r="14" spans="1:62" ht="15.75">
      <c r="A14" s="33" t="str">
        <f>IF(G14&lt;&gt;"",""&amp;TEXT($B$1,"##")&amp;"-"&amp; (ROW()-5)-COUNTBLANK(G$9:G14),"")</f>
        <v/>
      </c>
      <c r="B14" s="33"/>
      <c r="C14" s="33"/>
      <c r="E14" s="34"/>
      <c r="F14" s="34"/>
      <c r="G14" s="35"/>
      <c r="H14" s="49"/>
      <c r="I14" s="49"/>
      <c r="J14" s="49"/>
      <c r="K14" s="50"/>
      <c r="L14" s="49"/>
      <c r="M14" s="49"/>
      <c r="N14" s="49"/>
      <c r="O14" s="49"/>
      <c r="P14" s="49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</row>
    <row r="15" spans="1:62" ht="15.75">
      <c r="A15" s="33" t="str">
        <f>IF(G15&lt;&gt;"",""&amp;TEXT($B$1,"##")&amp;"-"&amp; (ROW()-5)-COUNTBLANK(G$9:G15),"")</f>
        <v/>
      </c>
      <c r="B15" s="33"/>
      <c r="C15" s="33"/>
      <c r="D15" s="33"/>
      <c r="E15" s="34"/>
      <c r="F15" s="34"/>
      <c r="G15" s="35"/>
      <c r="H15" s="49"/>
      <c r="I15" s="49"/>
      <c r="J15" s="49"/>
      <c r="K15" s="50"/>
      <c r="L15" s="49"/>
      <c r="M15" s="49"/>
      <c r="N15" s="49"/>
      <c r="O15" s="49"/>
      <c r="P15" s="49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</row>
    <row r="16" spans="1:62" ht="15.75">
      <c r="A16" s="33" t="str">
        <f>IF(G16&lt;&gt;"",""&amp;TEXT($B$1,"##")&amp;"-"&amp; (ROW()-5)-COUNTBLANK(G$9:G16),"")</f>
        <v/>
      </c>
      <c r="B16" s="33"/>
      <c r="C16" s="33"/>
      <c r="D16" s="33"/>
      <c r="E16" s="34"/>
      <c r="F16" s="34"/>
      <c r="G16" s="35"/>
      <c r="H16" s="49"/>
      <c r="I16" s="49"/>
      <c r="J16" s="49"/>
      <c r="K16" s="50"/>
      <c r="L16" s="49"/>
      <c r="M16" s="49"/>
      <c r="N16" s="49"/>
      <c r="O16" s="49"/>
      <c r="P16" s="49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</row>
    <row r="17" spans="1:40" ht="15.75">
      <c r="A17" s="33" t="str">
        <f>IF(G17&lt;&gt;"",""&amp;TEXT($B$1,"##")&amp;"-"&amp; (ROW()-5)-COUNTBLANK(G$9:G17),"")</f>
        <v/>
      </c>
      <c r="B17" s="33"/>
      <c r="C17" s="33"/>
      <c r="D17" s="33"/>
      <c r="E17" s="34"/>
      <c r="F17" s="34"/>
      <c r="G17" s="35"/>
      <c r="H17" s="49"/>
      <c r="I17" s="49"/>
      <c r="J17" s="49"/>
      <c r="K17" s="50"/>
      <c r="L17" s="49"/>
      <c r="M17" s="49"/>
      <c r="N17" s="49"/>
      <c r="O17" s="49"/>
      <c r="P17" s="49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</row>
    <row r="18" spans="1:40" ht="15.75">
      <c r="A18" s="33"/>
      <c r="B18" s="33"/>
      <c r="C18" s="33"/>
      <c r="D18" s="33"/>
      <c r="E18" s="34"/>
      <c r="F18" s="34"/>
      <c r="G18" s="35"/>
      <c r="H18" s="49"/>
      <c r="I18" s="49"/>
      <c r="J18" s="49"/>
      <c r="K18" s="50"/>
      <c r="L18" s="49"/>
      <c r="M18" s="49"/>
      <c r="N18" s="49"/>
      <c r="O18" s="49"/>
      <c r="P18" s="49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</row>
    <row r="19" spans="1:40" ht="15.75">
      <c r="A19" s="33"/>
      <c r="B19" s="33"/>
      <c r="C19" s="33"/>
      <c r="D19" s="33"/>
      <c r="E19" s="34"/>
      <c r="F19" s="34"/>
      <c r="G19" s="35"/>
      <c r="H19" s="49"/>
      <c r="I19" s="49"/>
      <c r="J19" s="49"/>
      <c r="K19" s="50"/>
      <c r="L19" s="49"/>
      <c r="M19" s="49"/>
      <c r="N19" s="49"/>
      <c r="O19" s="49"/>
      <c r="P19" s="49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</row>
    <row r="20" spans="1:40" ht="15.75">
      <c r="A20" s="33"/>
      <c r="B20" s="33"/>
      <c r="C20" s="33"/>
      <c r="D20" s="33"/>
      <c r="E20" s="34"/>
      <c r="F20" s="34"/>
      <c r="G20" s="35"/>
      <c r="H20" s="49"/>
      <c r="I20" s="49"/>
      <c r="J20" s="49"/>
      <c r="K20" s="50"/>
      <c r="L20" s="49"/>
      <c r="M20" s="49"/>
      <c r="N20" s="49"/>
      <c r="O20" s="49"/>
      <c r="P20" s="49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</row>
    <row r="21" spans="1:40" ht="15.75">
      <c r="A21" s="33"/>
      <c r="B21" s="36"/>
      <c r="C21" s="36"/>
      <c r="D21" s="37"/>
      <c r="E21" s="37"/>
      <c r="F21" s="36"/>
      <c r="G21" s="35"/>
      <c r="H21" s="49"/>
      <c r="I21" s="49"/>
      <c r="J21" s="49"/>
      <c r="K21" s="50"/>
      <c r="L21" s="49"/>
      <c r="M21" s="49"/>
      <c r="N21" s="49"/>
      <c r="O21" s="49"/>
      <c r="P21" s="49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</row>
    <row r="22" spans="1:40" ht="15.75">
      <c r="A22" s="33"/>
      <c r="B22" s="36"/>
      <c r="C22" s="36"/>
      <c r="D22" s="36"/>
      <c r="E22" s="36"/>
      <c r="F22" s="36"/>
      <c r="G22" s="35"/>
      <c r="H22" s="49"/>
      <c r="I22" s="49"/>
      <c r="J22" s="49"/>
      <c r="K22" s="50"/>
      <c r="L22" s="49"/>
      <c r="M22" s="49"/>
      <c r="N22" s="49"/>
      <c r="O22" s="49"/>
      <c r="P22" s="49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</row>
    <row r="23" spans="1:40" ht="15.75">
      <c r="A23" s="33"/>
      <c r="B23" s="36"/>
      <c r="C23" s="36"/>
      <c r="D23" s="36"/>
      <c r="E23" s="36"/>
      <c r="F23" s="36"/>
      <c r="G23" s="35"/>
      <c r="H23" s="49"/>
      <c r="I23" s="49"/>
      <c r="J23" s="49"/>
      <c r="K23" s="50"/>
      <c r="L23" s="49"/>
      <c r="M23" s="49"/>
      <c r="N23" s="49"/>
      <c r="O23" s="49"/>
      <c r="P23" s="49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</row>
    <row r="24" spans="1:40" ht="15.75">
      <c r="A24" s="33"/>
      <c r="B24" s="36"/>
      <c r="C24" s="36"/>
      <c r="D24" s="36"/>
      <c r="E24" s="36"/>
      <c r="F24" s="36"/>
      <c r="G24" s="35"/>
      <c r="H24" s="49"/>
      <c r="I24" s="49"/>
      <c r="J24" s="49"/>
      <c r="K24" s="50"/>
      <c r="L24" s="49"/>
      <c r="M24" s="49"/>
      <c r="N24" s="49"/>
      <c r="O24" s="49"/>
      <c r="P24" s="49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</row>
    <row r="25" spans="1:40" ht="15.75">
      <c r="A25" s="33"/>
      <c r="B25" s="36"/>
      <c r="C25" s="36"/>
      <c r="D25" s="36"/>
      <c r="E25" s="36"/>
      <c r="F25" s="36"/>
      <c r="G25" s="35"/>
      <c r="H25" s="49"/>
      <c r="I25" s="49"/>
      <c r="J25" s="49"/>
      <c r="K25" s="50"/>
      <c r="L25" s="49"/>
      <c r="M25" s="49"/>
      <c r="N25" s="49"/>
      <c r="O25" s="49"/>
      <c r="P25" s="49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</row>
    <row r="26" spans="1:40" ht="15.75">
      <c r="A26" s="33"/>
      <c r="B26" s="36"/>
      <c r="C26" s="36"/>
      <c r="D26" s="36"/>
      <c r="E26" s="36"/>
      <c r="F26" s="36"/>
      <c r="G26" s="35"/>
      <c r="H26" s="49"/>
      <c r="I26" s="49"/>
      <c r="J26" s="49"/>
      <c r="K26" s="50"/>
      <c r="L26" s="49"/>
      <c r="M26" s="49"/>
      <c r="N26" s="49"/>
      <c r="O26" s="49"/>
      <c r="P26" s="49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</row>
    <row r="27" spans="1:40" ht="15.75">
      <c r="A27" s="33"/>
      <c r="B27" s="36"/>
      <c r="C27" s="36"/>
      <c r="D27" s="36"/>
      <c r="E27" s="36"/>
      <c r="F27" s="36"/>
      <c r="G27" s="35"/>
      <c r="H27" s="49"/>
      <c r="I27" s="49"/>
      <c r="J27" s="49"/>
      <c r="K27" s="50"/>
      <c r="L27" s="49"/>
      <c r="M27" s="49"/>
      <c r="N27" s="49"/>
      <c r="O27" s="49"/>
      <c r="P27" s="49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</row>
    <row r="28" spans="1:40" ht="15.75">
      <c r="A28" s="33"/>
      <c r="B28" s="36"/>
      <c r="C28" s="36"/>
      <c r="D28" s="36"/>
      <c r="E28" s="36"/>
      <c r="F28" s="36"/>
      <c r="G28" s="35"/>
      <c r="H28" s="49"/>
      <c r="I28" s="49"/>
      <c r="J28" s="49"/>
      <c r="K28" s="50"/>
      <c r="L28" s="49"/>
      <c r="M28" s="49"/>
      <c r="N28" s="49"/>
      <c r="O28" s="49"/>
      <c r="P28" s="49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</row>
    <row r="29" spans="1:40" ht="15.75">
      <c r="A29" s="33"/>
      <c r="B29" s="36"/>
      <c r="C29" s="36"/>
      <c r="D29" s="36"/>
      <c r="E29" s="36"/>
      <c r="F29" s="36"/>
      <c r="G29" s="35"/>
      <c r="H29" s="49"/>
      <c r="I29" s="49"/>
      <c r="J29" s="49"/>
      <c r="K29" s="50"/>
      <c r="L29" s="49"/>
      <c r="M29" s="49"/>
      <c r="N29" s="49"/>
      <c r="O29" s="49"/>
      <c r="P29" s="49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</row>
    <row r="30" spans="1:40" ht="15.75">
      <c r="A30" s="33"/>
      <c r="B30" s="36"/>
      <c r="C30" s="36"/>
      <c r="D30" s="36"/>
      <c r="E30" s="36"/>
      <c r="F30" s="36"/>
      <c r="G30" s="35"/>
      <c r="H30" s="49"/>
      <c r="I30" s="49"/>
      <c r="J30" s="49"/>
      <c r="K30" s="50"/>
      <c r="L30" s="49"/>
      <c r="M30" s="49"/>
      <c r="N30" s="49"/>
      <c r="O30" s="49"/>
      <c r="P30" s="49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</row>
    <row r="31" spans="1:40" ht="15.75">
      <c r="A31" s="33"/>
      <c r="B31" s="36"/>
      <c r="C31" s="36"/>
      <c r="D31" s="36"/>
      <c r="E31" s="36"/>
      <c r="F31" s="36"/>
      <c r="G31" s="35"/>
      <c r="H31" s="49"/>
      <c r="I31" s="49"/>
      <c r="J31" s="49"/>
      <c r="K31" s="50"/>
      <c r="L31" s="49"/>
      <c r="M31" s="49"/>
      <c r="N31" s="49"/>
      <c r="O31" s="49"/>
      <c r="P31" s="49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</row>
    <row r="32" spans="1:40" ht="15.75">
      <c r="A32" s="33"/>
      <c r="B32" s="36"/>
      <c r="C32" s="36"/>
      <c r="D32" s="36"/>
      <c r="E32" s="36"/>
      <c r="F32" s="36"/>
      <c r="G32" s="35"/>
      <c r="H32" s="49"/>
      <c r="I32" s="49"/>
      <c r="J32" s="49"/>
      <c r="K32" s="50"/>
      <c r="L32" s="49"/>
      <c r="M32" s="49"/>
      <c r="N32" s="49"/>
      <c r="O32" s="49"/>
      <c r="P32" s="49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</row>
    <row r="33" spans="1:40" ht="15.75">
      <c r="A33" s="33"/>
      <c r="B33" s="36"/>
      <c r="C33" s="36"/>
      <c r="D33" s="36"/>
      <c r="E33" s="36"/>
      <c r="F33" s="36"/>
      <c r="G33" s="35"/>
      <c r="H33" s="49"/>
      <c r="I33" s="49"/>
      <c r="J33" s="49"/>
      <c r="K33" s="50"/>
      <c r="L33" s="49"/>
      <c r="M33" s="49"/>
      <c r="N33" s="49"/>
      <c r="O33" s="49"/>
      <c r="P33" s="49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</row>
    <row r="34" spans="1:40" ht="15.75">
      <c r="A34" s="33"/>
      <c r="B34" s="36"/>
      <c r="C34" s="36"/>
      <c r="D34" s="36"/>
      <c r="E34" s="36"/>
      <c r="F34" s="36"/>
      <c r="G34" s="35"/>
      <c r="H34" s="49"/>
      <c r="I34" s="49"/>
      <c r="J34" s="49"/>
      <c r="K34" s="50"/>
      <c r="L34" s="49"/>
      <c r="M34" s="49"/>
      <c r="N34" s="49"/>
      <c r="O34" s="49"/>
      <c r="P34" s="49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</row>
    <row r="35" spans="1:40" ht="15.75">
      <c r="A35" s="33"/>
      <c r="B35" s="36"/>
      <c r="C35" s="36"/>
      <c r="D35" s="36"/>
      <c r="E35" s="36"/>
      <c r="F35" s="36"/>
      <c r="G35" s="35"/>
      <c r="H35" s="49"/>
      <c r="I35" s="49"/>
      <c r="J35" s="49"/>
      <c r="K35" s="50"/>
      <c r="L35" s="49"/>
      <c r="M35" s="49"/>
      <c r="N35" s="49"/>
      <c r="O35" s="49"/>
      <c r="P35" s="49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</row>
    <row r="36" spans="1:40" ht="15.75">
      <c r="A36" s="33"/>
      <c r="B36" s="36"/>
      <c r="C36" s="36"/>
      <c r="D36" s="36"/>
      <c r="E36" s="36"/>
      <c r="F36" s="36"/>
      <c r="G36" s="35"/>
      <c r="H36" s="49"/>
      <c r="I36" s="49"/>
      <c r="J36" s="49"/>
      <c r="K36" s="50"/>
      <c r="L36" s="49"/>
      <c r="M36" s="49"/>
      <c r="N36" s="49"/>
      <c r="O36" s="49"/>
      <c r="P36" s="49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</row>
    <row r="37" spans="1:40" ht="15.75">
      <c r="A37" s="33"/>
      <c r="B37" s="36"/>
      <c r="C37" s="36"/>
      <c r="D37" s="36"/>
      <c r="E37" s="36"/>
      <c r="F37" s="36"/>
      <c r="G37" s="35"/>
      <c r="H37" s="49"/>
      <c r="I37" s="49"/>
      <c r="J37" s="49"/>
      <c r="K37" s="50"/>
      <c r="L37" s="49"/>
      <c r="M37" s="49"/>
      <c r="N37" s="49"/>
      <c r="O37" s="49"/>
      <c r="P37" s="49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</row>
    <row r="38" spans="1:40" ht="15.75">
      <c r="A38" s="33"/>
      <c r="B38" s="36"/>
      <c r="C38" s="36"/>
      <c r="D38" s="36"/>
      <c r="E38" s="36"/>
      <c r="F38" s="36"/>
      <c r="G38" s="35"/>
      <c r="H38" s="49"/>
      <c r="I38" s="49"/>
      <c r="J38" s="49"/>
      <c r="K38" s="50"/>
      <c r="L38" s="49"/>
      <c r="M38" s="49"/>
      <c r="N38" s="49"/>
      <c r="O38" s="49"/>
      <c r="P38" s="49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</row>
    <row r="39" spans="1:40" ht="15.75">
      <c r="A39" s="33"/>
      <c r="B39" s="36"/>
      <c r="C39" s="36"/>
      <c r="D39" s="36"/>
      <c r="E39" s="36"/>
      <c r="F39" s="36"/>
      <c r="G39" s="35"/>
      <c r="H39" s="49"/>
      <c r="I39" s="49"/>
      <c r="J39" s="49"/>
      <c r="K39" s="50"/>
      <c r="L39" s="49"/>
      <c r="M39" s="49"/>
      <c r="N39" s="49"/>
      <c r="O39" s="49"/>
      <c r="P39" s="49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</row>
    <row r="40" spans="1:40" ht="15.75">
      <c r="A40" s="33"/>
      <c r="B40" s="36"/>
      <c r="C40" s="36"/>
      <c r="D40" s="36"/>
      <c r="E40" s="36"/>
      <c r="F40" s="36"/>
      <c r="G40" s="35"/>
      <c r="H40" s="49"/>
      <c r="I40" s="49"/>
      <c r="J40" s="49"/>
      <c r="K40" s="50"/>
      <c r="L40" s="49"/>
      <c r="M40" s="49"/>
      <c r="N40" s="49"/>
      <c r="O40" s="49"/>
      <c r="P40" s="49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</row>
    <row r="41" spans="1:40" ht="15.75">
      <c r="A41" s="33"/>
      <c r="B41" s="36"/>
      <c r="C41" s="36"/>
      <c r="D41" s="36"/>
      <c r="E41" s="36"/>
      <c r="F41" s="36"/>
      <c r="G41" s="35"/>
      <c r="H41" s="49"/>
      <c r="I41" s="49"/>
      <c r="J41" s="49"/>
      <c r="K41" s="50"/>
      <c r="L41" s="49"/>
      <c r="M41" s="49"/>
      <c r="N41" s="49"/>
      <c r="O41" s="49"/>
      <c r="P41" s="49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</row>
    <row r="42" spans="1:40" ht="15.75">
      <c r="A42" s="33"/>
      <c r="B42" s="36"/>
      <c r="C42" s="36"/>
      <c r="D42" s="36"/>
      <c r="E42" s="36"/>
      <c r="F42" s="36"/>
      <c r="G42" s="35"/>
      <c r="H42" s="49"/>
      <c r="I42" s="49"/>
      <c r="J42" s="49"/>
      <c r="K42" s="50"/>
      <c r="L42" s="49"/>
      <c r="M42" s="49"/>
      <c r="N42" s="49"/>
      <c r="O42" s="49"/>
      <c r="P42" s="49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</row>
    <row r="43" spans="1:40" ht="15.75">
      <c r="A43" s="33"/>
      <c r="B43" s="36"/>
      <c r="C43" s="36"/>
      <c r="D43" s="36"/>
      <c r="E43" s="36"/>
      <c r="F43" s="36"/>
      <c r="G43" s="35"/>
      <c r="H43" s="49"/>
      <c r="I43" s="49"/>
      <c r="J43" s="49"/>
      <c r="K43" s="50"/>
      <c r="L43" s="49"/>
      <c r="M43" s="49"/>
      <c r="N43" s="49"/>
      <c r="O43" s="49"/>
      <c r="P43" s="49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</row>
    <row r="44" spans="1:40" ht="15.75">
      <c r="A44" s="33"/>
      <c r="B44" s="36"/>
      <c r="C44" s="36"/>
      <c r="D44" s="36"/>
      <c r="E44" s="36"/>
      <c r="F44" s="36"/>
      <c r="G44" s="35"/>
      <c r="H44" s="49"/>
      <c r="I44" s="49"/>
      <c r="J44" s="49"/>
      <c r="K44" s="50"/>
      <c r="L44" s="49"/>
      <c r="M44" s="49"/>
      <c r="N44" s="49"/>
      <c r="O44" s="49"/>
      <c r="P44" s="49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</row>
    <row r="45" spans="1:40" ht="15.75">
      <c r="A45" s="33"/>
      <c r="B45" s="36"/>
      <c r="C45" s="36"/>
      <c r="D45" s="36"/>
      <c r="E45" s="36"/>
      <c r="F45" s="36"/>
      <c r="G45" s="35"/>
      <c r="H45" s="49"/>
      <c r="I45" s="49"/>
      <c r="J45" s="49"/>
      <c r="K45" s="50"/>
      <c r="L45" s="49"/>
      <c r="M45" s="49"/>
      <c r="N45" s="49"/>
      <c r="O45" s="49"/>
      <c r="P45" s="49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</row>
    <row r="46" spans="1:40" ht="15.75">
      <c r="A46" s="33"/>
      <c r="B46" s="36"/>
      <c r="C46" s="36"/>
      <c r="D46" s="36"/>
      <c r="E46" s="36"/>
      <c r="F46" s="36"/>
      <c r="G46" s="35"/>
      <c r="H46" s="49"/>
      <c r="I46" s="49"/>
      <c r="J46" s="49"/>
      <c r="K46" s="50"/>
      <c r="L46" s="49"/>
      <c r="M46" s="49"/>
      <c r="N46" s="49"/>
      <c r="O46" s="49"/>
      <c r="P46" s="49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</row>
    <row r="47" spans="1:40" ht="15.75">
      <c r="A47" s="33"/>
      <c r="B47" s="36"/>
      <c r="C47" s="36"/>
      <c r="D47" s="36"/>
      <c r="E47" s="36"/>
      <c r="F47" s="36"/>
      <c r="G47" s="35"/>
      <c r="H47" s="49"/>
      <c r="I47" s="49"/>
      <c r="J47" s="49"/>
      <c r="K47" s="50"/>
      <c r="L47" s="49"/>
      <c r="M47" s="49"/>
      <c r="N47" s="49"/>
      <c r="O47" s="49"/>
      <c r="P47" s="49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</row>
    <row r="48" spans="1:40" ht="15.75">
      <c r="A48" s="33"/>
      <c r="B48" s="36"/>
      <c r="C48" s="36"/>
      <c r="D48" s="36"/>
      <c r="E48" s="36"/>
      <c r="F48" s="36"/>
      <c r="G48" s="35"/>
      <c r="H48" s="49"/>
      <c r="I48" s="49"/>
      <c r="J48" s="49"/>
      <c r="K48" s="50"/>
      <c r="L48" s="49"/>
      <c r="M48" s="49"/>
      <c r="N48" s="49"/>
      <c r="O48" s="49"/>
      <c r="P48" s="49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</row>
    <row r="49" spans="1:40" ht="15.75">
      <c r="A49" s="33"/>
      <c r="B49" s="36"/>
      <c r="C49" s="36"/>
      <c r="D49" s="36"/>
      <c r="E49" s="36"/>
      <c r="F49" s="36"/>
      <c r="G49" s="35"/>
      <c r="H49" s="49"/>
      <c r="I49" s="49"/>
      <c r="J49" s="49"/>
      <c r="K49" s="50"/>
      <c r="L49" s="49"/>
      <c r="M49" s="49"/>
      <c r="N49" s="49"/>
      <c r="O49" s="49"/>
      <c r="P49" s="49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</row>
    <row r="50" spans="1:40" ht="15.75">
      <c r="A50" s="33"/>
      <c r="B50" s="36"/>
      <c r="C50" s="36"/>
      <c r="D50" s="36"/>
      <c r="E50" s="36"/>
      <c r="F50" s="36"/>
      <c r="G50" s="35"/>
      <c r="H50" s="49"/>
      <c r="I50" s="49"/>
      <c r="J50" s="49"/>
      <c r="K50" s="50"/>
      <c r="L50" s="49"/>
      <c r="M50" s="49"/>
      <c r="N50" s="49"/>
      <c r="O50" s="49"/>
      <c r="P50" s="49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</row>
    <row r="51" spans="1:40" ht="15.75">
      <c r="A51" s="33"/>
      <c r="B51" s="36"/>
      <c r="C51" s="36"/>
      <c r="D51" s="36"/>
      <c r="E51" s="36"/>
      <c r="F51" s="36"/>
      <c r="G51" s="35"/>
      <c r="H51" s="49"/>
      <c r="I51" s="49"/>
      <c r="J51" s="49"/>
      <c r="K51" s="50"/>
      <c r="L51" s="49"/>
      <c r="M51" s="49"/>
      <c r="N51" s="49"/>
      <c r="O51" s="49"/>
      <c r="P51" s="49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</row>
    <row r="52" spans="1:40" ht="15.75">
      <c r="A52" s="33"/>
      <c r="B52" s="36"/>
      <c r="C52" s="36"/>
      <c r="D52" s="36"/>
      <c r="E52" s="36"/>
      <c r="F52" s="36"/>
      <c r="G52" s="35"/>
      <c r="H52" s="49"/>
      <c r="I52" s="49"/>
      <c r="J52" s="49"/>
      <c r="K52" s="50"/>
      <c r="L52" s="49"/>
      <c r="M52" s="49"/>
      <c r="N52" s="49"/>
      <c r="O52" s="49"/>
      <c r="P52" s="49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</row>
    <row r="53" spans="1:40" ht="15.75">
      <c r="A53" s="33"/>
      <c r="B53" s="36"/>
      <c r="C53" s="36"/>
      <c r="D53" s="36"/>
      <c r="E53" s="36"/>
      <c r="F53" s="36"/>
      <c r="G53" s="35"/>
      <c r="H53" s="49"/>
      <c r="I53" s="49"/>
      <c r="J53" s="49"/>
      <c r="K53" s="50"/>
      <c r="L53" s="49"/>
      <c r="M53" s="49"/>
      <c r="N53" s="49"/>
      <c r="O53" s="49"/>
      <c r="P53" s="49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</row>
    <row r="54" spans="1:40" ht="15.75">
      <c r="A54" s="33"/>
      <c r="B54" s="36"/>
      <c r="C54" s="36"/>
      <c r="D54" s="36"/>
      <c r="E54" s="36"/>
      <c r="F54" s="36"/>
      <c r="G54" s="35"/>
      <c r="H54" s="49"/>
      <c r="I54" s="49"/>
      <c r="J54" s="49"/>
      <c r="K54" s="50"/>
      <c r="L54" s="49"/>
      <c r="M54" s="49"/>
      <c r="N54" s="49"/>
      <c r="O54" s="49"/>
      <c r="P54" s="49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</row>
    <row r="55" spans="1:40" ht="15.75">
      <c r="A55" s="33"/>
      <c r="B55" s="36"/>
      <c r="C55" s="36"/>
      <c r="D55" s="36"/>
      <c r="E55" s="36"/>
      <c r="F55" s="36"/>
      <c r="G55" s="35"/>
      <c r="H55" s="49"/>
      <c r="I55" s="49"/>
      <c r="J55" s="49"/>
      <c r="K55" s="50"/>
      <c r="L55" s="49"/>
      <c r="M55" s="49"/>
      <c r="N55" s="49"/>
      <c r="O55" s="49"/>
      <c r="P55" s="49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</row>
    <row r="56" spans="1:40" ht="15.75">
      <c r="A56" s="33"/>
      <c r="B56" s="36"/>
      <c r="C56" s="36"/>
      <c r="D56" s="36"/>
      <c r="E56" s="36"/>
      <c r="F56" s="36"/>
      <c r="G56" s="35"/>
      <c r="H56" s="49"/>
      <c r="I56" s="49"/>
      <c r="J56" s="49"/>
      <c r="K56" s="50"/>
      <c r="L56" s="49"/>
      <c r="M56" s="49"/>
      <c r="N56" s="49"/>
      <c r="O56" s="49"/>
      <c r="P56" s="49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</row>
    <row r="57" spans="1:40" ht="15.75">
      <c r="A57" s="33"/>
      <c r="B57" s="36"/>
      <c r="C57" s="36"/>
      <c r="D57" s="36"/>
      <c r="E57" s="36"/>
      <c r="F57" s="36"/>
      <c r="G57" s="35"/>
      <c r="H57" s="49"/>
      <c r="I57" s="49"/>
      <c r="J57" s="49"/>
      <c r="K57" s="50"/>
      <c r="L57" s="49"/>
      <c r="M57" s="49"/>
      <c r="N57" s="49"/>
      <c r="O57" s="49"/>
      <c r="P57" s="49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</row>
    <row r="58" spans="1:40" ht="15.75">
      <c r="A58" s="33"/>
      <c r="B58" s="36"/>
      <c r="C58" s="36"/>
      <c r="D58" s="36"/>
      <c r="E58" s="36"/>
      <c r="F58" s="36"/>
      <c r="G58" s="35"/>
      <c r="H58" s="49"/>
      <c r="I58" s="49"/>
      <c r="J58" s="49"/>
      <c r="K58" s="50"/>
      <c r="L58" s="49"/>
      <c r="M58" s="49"/>
      <c r="N58" s="49"/>
      <c r="O58" s="49"/>
      <c r="P58" s="49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</row>
    <row r="59" spans="1:40" ht="15.75">
      <c r="A59" s="33"/>
      <c r="B59" s="36"/>
      <c r="C59" s="36"/>
      <c r="D59" s="36"/>
      <c r="E59" s="36"/>
      <c r="F59" s="36"/>
      <c r="G59" s="35"/>
      <c r="H59" s="49"/>
      <c r="I59" s="49"/>
      <c r="J59" s="49"/>
      <c r="K59" s="50"/>
      <c r="L59" s="49"/>
      <c r="M59" s="49"/>
      <c r="N59" s="49"/>
      <c r="O59" s="49"/>
      <c r="P59" s="49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</row>
    <row r="60" spans="1:40" ht="15.75">
      <c r="A60" s="33"/>
      <c r="B60" s="36"/>
      <c r="C60" s="36"/>
      <c r="D60" s="36"/>
      <c r="E60" s="36"/>
      <c r="F60" s="36"/>
      <c r="G60" s="35"/>
      <c r="H60" s="49"/>
      <c r="I60" s="49"/>
      <c r="J60" s="49"/>
      <c r="K60" s="50"/>
      <c r="L60" s="49"/>
      <c r="M60" s="49"/>
      <c r="N60" s="49"/>
      <c r="O60" s="49"/>
      <c r="P60" s="49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</row>
    <row r="61" spans="1:40" ht="15.75">
      <c r="A61" s="33"/>
      <c r="B61" s="36"/>
      <c r="C61" s="36"/>
      <c r="D61" s="36"/>
      <c r="E61" s="36"/>
      <c r="F61" s="36"/>
      <c r="G61" s="35"/>
      <c r="H61" s="49"/>
      <c r="I61" s="49"/>
      <c r="J61" s="49"/>
      <c r="K61" s="50"/>
      <c r="L61" s="49"/>
      <c r="M61" s="49"/>
      <c r="N61" s="49"/>
      <c r="O61" s="49"/>
      <c r="P61" s="49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</row>
    <row r="62" spans="1:40" ht="15.75">
      <c r="A62" s="33"/>
      <c r="B62" s="36"/>
      <c r="C62" s="36"/>
      <c r="D62" s="36"/>
      <c r="E62" s="36"/>
      <c r="F62" s="36"/>
      <c r="G62" s="35"/>
      <c r="H62" s="49"/>
      <c r="I62" s="49"/>
      <c r="J62" s="49"/>
      <c r="K62" s="50"/>
      <c r="L62" s="49"/>
      <c r="M62" s="49"/>
      <c r="N62" s="49"/>
      <c r="O62" s="49"/>
      <c r="P62" s="49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</row>
    <row r="63" spans="1:40" ht="15.75">
      <c r="A63" s="33"/>
      <c r="B63" s="36"/>
      <c r="C63" s="36"/>
      <c r="D63" s="36"/>
      <c r="E63" s="36"/>
      <c r="F63" s="36"/>
      <c r="G63" s="35"/>
      <c r="H63" s="49"/>
      <c r="I63" s="49"/>
      <c r="J63" s="49"/>
      <c r="K63" s="50"/>
      <c r="L63" s="49"/>
      <c r="M63" s="49"/>
      <c r="N63" s="49"/>
      <c r="O63" s="49"/>
      <c r="P63" s="49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</row>
    <row r="64" spans="1:40" ht="15.75">
      <c r="A64" s="33"/>
      <c r="B64" s="36"/>
      <c r="C64" s="36"/>
      <c r="D64" s="36"/>
      <c r="E64" s="36"/>
      <c r="F64" s="36"/>
      <c r="G64" s="35"/>
      <c r="H64" s="49"/>
      <c r="I64" s="49"/>
      <c r="J64" s="49"/>
      <c r="K64" s="50"/>
      <c r="L64" s="49"/>
      <c r="M64" s="49"/>
      <c r="N64" s="49"/>
      <c r="O64" s="49"/>
      <c r="P64" s="49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</row>
    <row r="65" spans="1:40" ht="15.75">
      <c r="A65" s="33"/>
      <c r="B65" s="36"/>
      <c r="C65" s="36"/>
      <c r="D65" s="36"/>
      <c r="E65" s="36"/>
      <c r="F65" s="36"/>
      <c r="G65" s="35"/>
      <c r="H65" s="49"/>
      <c r="I65" s="49"/>
      <c r="J65" s="49"/>
      <c r="K65" s="50"/>
      <c r="L65" s="49"/>
      <c r="M65" s="49"/>
      <c r="N65" s="49"/>
      <c r="O65" s="49"/>
      <c r="P65" s="49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</row>
    <row r="66" spans="1:40" ht="15.75">
      <c r="A66" s="33"/>
      <c r="B66" s="36"/>
      <c r="C66" s="36"/>
      <c r="D66" s="36"/>
      <c r="E66" s="36"/>
      <c r="F66" s="36"/>
      <c r="G66" s="35"/>
      <c r="H66" s="49"/>
      <c r="I66" s="49"/>
      <c r="J66" s="49"/>
      <c r="K66" s="50"/>
      <c r="L66" s="49"/>
      <c r="M66" s="49"/>
      <c r="N66" s="49"/>
      <c r="O66" s="49"/>
      <c r="P66" s="49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</row>
    <row r="67" spans="1:40" ht="15.75">
      <c r="A67" s="33"/>
      <c r="B67" s="36"/>
      <c r="C67" s="36"/>
      <c r="D67" s="36"/>
      <c r="E67" s="36"/>
      <c r="F67" s="36"/>
      <c r="G67" s="35"/>
      <c r="H67" s="49"/>
      <c r="I67" s="49"/>
      <c r="J67" s="49"/>
      <c r="K67" s="50"/>
      <c r="L67" s="49"/>
      <c r="M67" s="49"/>
      <c r="N67" s="49"/>
      <c r="O67" s="49"/>
      <c r="P67" s="49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</row>
    <row r="68" spans="1:40" ht="15.75">
      <c r="A68" s="33"/>
      <c r="B68" s="36"/>
      <c r="C68" s="36"/>
      <c r="D68" s="36"/>
      <c r="E68" s="36"/>
      <c r="F68" s="36"/>
      <c r="G68" s="35"/>
      <c r="H68" s="49"/>
      <c r="I68" s="49"/>
      <c r="J68" s="49"/>
      <c r="K68" s="50"/>
      <c r="L68" s="49"/>
      <c r="M68" s="49"/>
      <c r="N68" s="49"/>
      <c r="O68" s="49"/>
      <c r="P68" s="49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</row>
    <row r="69" spans="1:40" ht="15.75">
      <c r="A69" s="33"/>
      <c r="B69" s="36"/>
      <c r="C69" s="36"/>
      <c r="D69" s="36"/>
      <c r="E69" s="36"/>
      <c r="F69" s="36"/>
      <c r="G69" s="35"/>
      <c r="H69" s="49"/>
      <c r="I69" s="49"/>
      <c r="J69" s="49"/>
      <c r="K69" s="50"/>
      <c r="L69" s="49"/>
      <c r="M69" s="49"/>
      <c r="N69" s="49"/>
      <c r="O69" s="49"/>
      <c r="P69" s="49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</row>
    <row r="70" spans="1:40" ht="15.75">
      <c r="A70" s="33"/>
      <c r="B70" s="36"/>
      <c r="C70" s="36"/>
      <c r="D70" s="36"/>
      <c r="E70" s="36"/>
      <c r="F70" s="36"/>
      <c r="G70" s="35"/>
      <c r="H70" s="49"/>
      <c r="I70" s="49"/>
      <c r="J70" s="49"/>
      <c r="K70" s="50"/>
      <c r="L70" s="49"/>
      <c r="M70" s="49"/>
      <c r="N70" s="49"/>
      <c r="O70" s="49"/>
      <c r="P70" s="49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</row>
    <row r="71" spans="1:40" ht="15.75">
      <c r="A71" s="33"/>
      <c r="B71" s="36"/>
      <c r="C71" s="36"/>
      <c r="D71" s="36"/>
      <c r="E71" s="36"/>
      <c r="F71" s="36"/>
      <c r="G71" s="35"/>
      <c r="H71" s="49"/>
      <c r="I71" s="49"/>
      <c r="J71" s="49"/>
      <c r="K71" s="50"/>
      <c r="L71" s="49"/>
      <c r="M71" s="49"/>
      <c r="N71" s="49"/>
      <c r="O71" s="49"/>
      <c r="P71" s="49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</row>
    <row r="72" spans="1:40" ht="15.75">
      <c r="A72" s="33"/>
      <c r="B72" s="36"/>
      <c r="C72" s="36"/>
      <c r="D72" s="36"/>
      <c r="E72" s="36"/>
      <c r="F72" s="36"/>
      <c r="G72" s="35"/>
      <c r="H72" s="49"/>
      <c r="I72" s="49"/>
      <c r="J72" s="49"/>
      <c r="K72" s="50"/>
      <c r="L72" s="49"/>
      <c r="M72" s="49"/>
      <c r="N72" s="49"/>
      <c r="O72" s="49"/>
      <c r="P72" s="49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</row>
    <row r="73" spans="1:40" ht="15.75">
      <c r="A73" s="33"/>
      <c r="B73" s="36"/>
      <c r="C73" s="36"/>
      <c r="D73" s="36"/>
      <c r="E73" s="36"/>
      <c r="F73" s="36"/>
      <c r="G73" s="35"/>
      <c r="H73" s="49"/>
      <c r="I73" s="49"/>
      <c r="J73" s="49"/>
      <c r="K73" s="50"/>
      <c r="L73" s="49"/>
      <c r="M73" s="49"/>
      <c r="N73" s="49"/>
      <c r="O73" s="49"/>
      <c r="P73" s="49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</row>
    <row r="74" spans="1:40" ht="15.75">
      <c r="A74" s="33"/>
      <c r="B74" s="36"/>
      <c r="C74" s="36"/>
      <c r="D74" s="36"/>
      <c r="E74" s="36"/>
      <c r="F74" s="36"/>
      <c r="G74" s="35"/>
      <c r="H74" s="49"/>
      <c r="I74" s="49"/>
      <c r="J74" s="49"/>
      <c r="K74" s="50"/>
      <c r="L74" s="49"/>
      <c r="M74" s="49"/>
      <c r="N74" s="49"/>
      <c r="O74" s="49"/>
      <c r="P74" s="49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</row>
    <row r="75" spans="1:40" ht="15.75">
      <c r="A75" s="33"/>
      <c r="B75" s="36"/>
      <c r="C75" s="36"/>
      <c r="D75" s="36"/>
      <c r="E75" s="36"/>
      <c r="F75" s="36"/>
      <c r="G75" s="35"/>
      <c r="H75" s="49"/>
      <c r="I75" s="49"/>
      <c r="J75" s="49"/>
      <c r="K75" s="50"/>
      <c r="L75" s="49"/>
      <c r="M75" s="49"/>
      <c r="N75" s="49"/>
      <c r="O75" s="49"/>
      <c r="P75" s="49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</row>
    <row r="76" spans="1:40" ht="15.75">
      <c r="A76" s="33"/>
      <c r="B76" s="36"/>
      <c r="C76" s="36"/>
      <c r="D76" s="36"/>
      <c r="E76" s="36"/>
      <c r="F76" s="36"/>
      <c r="G76" s="35"/>
      <c r="H76" s="49"/>
      <c r="I76" s="49"/>
      <c r="J76" s="49"/>
      <c r="K76" s="50"/>
      <c r="L76" s="49"/>
      <c r="M76" s="49"/>
      <c r="N76" s="49"/>
      <c r="O76" s="49"/>
      <c r="P76" s="49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</row>
    <row r="77" spans="1:40" ht="15.75">
      <c r="A77" s="33"/>
      <c r="B77" s="36"/>
      <c r="C77" s="36"/>
      <c r="D77" s="36"/>
      <c r="E77" s="36"/>
      <c r="F77" s="36"/>
      <c r="G77" s="35"/>
      <c r="H77" s="49"/>
      <c r="I77" s="49"/>
      <c r="J77" s="49"/>
      <c r="K77" s="50"/>
      <c r="L77" s="49"/>
      <c r="M77" s="49"/>
      <c r="N77" s="49"/>
      <c r="O77" s="49"/>
      <c r="P77" s="49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</row>
    <row r="78" spans="1:40" ht="15.75">
      <c r="A78" s="33"/>
      <c r="B78" s="36"/>
      <c r="C78" s="36"/>
      <c r="D78" s="36"/>
      <c r="E78" s="36"/>
      <c r="F78" s="36"/>
      <c r="G78" s="35"/>
      <c r="H78" s="49"/>
      <c r="I78" s="49"/>
      <c r="J78" s="49"/>
      <c r="K78" s="50"/>
      <c r="L78" s="49"/>
      <c r="M78" s="49"/>
      <c r="N78" s="49"/>
      <c r="O78" s="49"/>
      <c r="P78" s="49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</row>
    <row r="79" spans="1:40" ht="15.75">
      <c r="A79" s="33"/>
      <c r="B79" s="36"/>
      <c r="C79" s="36"/>
      <c r="D79" s="36"/>
      <c r="E79" s="36"/>
      <c r="F79" s="36"/>
      <c r="G79" s="35"/>
      <c r="H79" s="49"/>
      <c r="I79" s="49"/>
      <c r="J79" s="49"/>
      <c r="K79" s="50"/>
      <c r="L79" s="49"/>
      <c r="M79" s="49"/>
      <c r="N79" s="49"/>
      <c r="O79" s="49"/>
      <c r="P79" s="49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</row>
    <row r="80" spans="1:40" ht="15.75">
      <c r="A80" s="33"/>
      <c r="B80" s="36"/>
      <c r="C80" s="36"/>
      <c r="D80" s="36"/>
      <c r="E80" s="36"/>
      <c r="F80" s="36"/>
      <c r="G80" s="35"/>
      <c r="H80" s="49"/>
      <c r="I80" s="49"/>
      <c r="J80" s="49"/>
      <c r="K80" s="50"/>
      <c r="L80" s="49"/>
      <c r="M80" s="49"/>
      <c r="N80" s="49"/>
      <c r="O80" s="49"/>
      <c r="P80" s="49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</row>
    <row r="81" spans="1:40" ht="15.75">
      <c r="A81" s="33"/>
      <c r="B81" s="36"/>
      <c r="C81" s="36"/>
      <c r="D81" s="36"/>
      <c r="E81" s="36"/>
      <c r="F81" s="36"/>
      <c r="G81" s="35"/>
      <c r="H81" s="49"/>
      <c r="I81" s="49"/>
      <c r="J81" s="49"/>
      <c r="K81" s="50"/>
      <c r="L81" s="49"/>
      <c r="M81" s="49"/>
      <c r="N81" s="49"/>
      <c r="O81" s="49"/>
      <c r="P81" s="49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</row>
    <row r="82" spans="1:40" ht="15.75">
      <c r="A82" s="33"/>
      <c r="B82" s="36"/>
      <c r="C82" s="36"/>
      <c r="D82" s="36"/>
      <c r="E82" s="36"/>
      <c r="F82" s="36"/>
      <c r="G82" s="35"/>
      <c r="H82" s="49"/>
      <c r="I82" s="49"/>
      <c r="J82" s="49"/>
      <c r="K82" s="50"/>
      <c r="L82" s="49"/>
      <c r="M82" s="49"/>
      <c r="N82" s="49"/>
      <c r="O82" s="49"/>
      <c r="P82" s="49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</row>
    <row r="83" spans="1:40" ht="15.75">
      <c r="A83" s="33"/>
      <c r="B83" s="36"/>
      <c r="C83" s="36"/>
      <c r="D83" s="36"/>
      <c r="E83" s="36"/>
      <c r="F83" s="36"/>
      <c r="G83" s="35"/>
      <c r="H83" s="49"/>
      <c r="I83" s="49"/>
      <c r="J83" s="49"/>
      <c r="K83" s="50"/>
      <c r="L83" s="49"/>
      <c r="M83" s="49"/>
      <c r="N83" s="49"/>
      <c r="O83" s="49"/>
      <c r="P83" s="49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</row>
    <row r="84" spans="1:40" ht="15.75">
      <c r="A84" s="33"/>
      <c r="B84" s="36"/>
      <c r="C84" s="36"/>
      <c r="D84" s="36"/>
      <c r="E84" s="36"/>
      <c r="F84" s="36"/>
      <c r="G84" s="35"/>
      <c r="H84" s="49"/>
      <c r="I84" s="49"/>
      <c r="J84" s="49"/>
      <c r="K84" s="50"/>
      <c r="L84" s="49"/>
      <c r="M84" s="49"/>
      <c r="N84" s="49"/>
      <c r="O84" s="49"/>
      <c r="P84" s="49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</row>
    <row r="85" spans="1:40" ht="15.75">
      <c r="A85" s="33"/>
      <c r="B85" s="36"/>
      <c r="C85" s="36"/>
      <c r="D85" s="36"/>
      <c r="E85" s="36"/>
      <c r="F85" s="36"/>
      <c r="G85" s="35"/>
      <c r="H85" s="49"/>
      <c r="I85" s="49"/>
      <c r="J85" s="49"/>
      <c r="K85" s="50"/>
      <c r="L85" s="49"/>
      <c r="M85" s="49"/>
      <c r="N85" s="49"/>
      <c r="O85" s="49"/>
      <c r="P85" s="49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</row>
    <row r="86" spans="1:40" ht="15.75">
      <c r="A86" s="33"/>
      <c r="B86" s="36"/>
      <c r="C86" s="36"/>
      <c r="D86" s="36"/>
      <c r="E86" s="36"/>
      <c r="F86" s="36"/>
      <c r="G86" s="35"/>
      <c r="H86" s="49"/>
      <c r="I86" s="49"/>
      <c r="J86" s="49"/>
      <c r="K86" s="50"/>
      <c r="L86" s="49"/>
      <c r="M86" s="49"/>
      <c r="N86" s="49"/>
      <c r="O86" s="49"/>
      <c r="P86" s="49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</row>
    <row r="87" spans="1:40" ht="15.75">
      <c r="A87" s="33"/>
      <c r="B87" s="36"/>
      <c r="C87" s="36"/>
      <c r="D87" s="36"/>
      <c r="E87" s="36"/>
      <c r="F87" s="36"/>
      <c r="G87" s="35"/>
      <c r="H87" s="49"/>
      <c r="I87" s="49"/>
      <c r="J87" s="49"/>
      <c r="K87" s="50"/>
      <c r="L87" s="49"/>
      <c r="M87" s="49"/>
      <c r="N87" s="49"/>
      <c r="O87" s="49"/>
      <c r="P87" s="49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</row>
    <row r="88" spans="1:40" ht="15.75">
      <c r="A88" s="33"/>
      <c r="B88" s="36"/>
      <c r="C88" s="36"/>
      <c r="D88" s="36"/>
      <c r="E88" s="36"/>
      <c r="F88" s="36"/>
      <c r="G88" s="35"/>
      <c r="H88" s="49"/>
      <c r="I88" s="49"/>
      <c r="J88" s="49"/>
      <c r="K88" s="50"/>
      <c r="L88" s="49"/>
      <c r="M88" s="49"/>
      <c r="N88" s="49"/>
      <c r="O88" s="49"/>
      <c r="P88" s="49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</row>
    <row r="89" spans="1:40" ht="15.75">
      <c r="A89" s="33"/>
      <c r="B89" s="36"/>
      <c r="C89" s="36"/>
      <c r="D89" s="36"/>
      <c r="E89" s="36"/>
      <c r="F89" s="36"/>
      <c r="G89" s="35"/>
      <c r="H89" s="49"/>
      <c r="I89" s="49"/>
      <c r="J89" s="49"/>
      <c r="K89" s="50"/>
      <c r="L89" s="49"/>
      <c r="M89" s="49"/>
      <c r="N89" s="49"/>
      <c r="O89" s="49"/>
      <c r="P89" s="49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</row>
    <row r="90" spans="1:40" ht="15.75">
      <c r="A90" s="33"/>
      <c r="B90" s="36"/>
      <c r="C90" s="36"/>
      <c r="D90" s="36"/>
      <c r="E90" s="36"/>
      <c r="F90" s="36"/>
      <c r="G90" s="35"/>
      <c r="H90" s="49"/>
      <c r="I90" s="49"/>
      <c r="J90" s="49"/>
      <c r="K90" s="50"/>
      <c r="L90" s="49"/>
      <c r="M90" s="49"/>
      <c r="N90" s="49"/>
      <c r="O90" s="49"/>
      <c r="P90" s="49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</row>
    <row r="91" spans="1:40" ht="15.75">
      <c r="A91" s="33"/>
      <c r="B91" s="36"/>
      <c r="C91" s="36"/>
      <c r="D91" s="36"/>
      <c r="E91" s="36"/>
      <c r="F91" s="36"/>
      <c r="G91" s="35"/>
      <c r="H91" s="49"/>
      <c r="I91" s="49"/>
      <c r="J91" s="49"/>
      <c r="K91" s="50"/>
      <c r="L91" s="49"/>
      <c r="M91" s="49"/>
      <c r="N91" s="49"/>
      <c r="O91" s="49"/>
      <c r="P91" s="49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</row>
    <row r="92" spans="1:40" ht="15.75">
      <c r="A92" s="33"/>
      <c r="B92" s="36"/>
      <c r="C92" s="36"/>
      <c r="D92" s="36"/>
      <c r="E92" s="36"/>
      <c r="F92" s="36"/>
      <c r="G92" s="35"/>
      <c r="H92" s="49"/>
      <c r="I92" s="49"/>
      <c r="J92" s="49"/>
      <c r="K92" s="50"/>
      <c r="L92" s="49"/>
      <c r="M92" s="49"/>
      <c r="N92" s="49"/>
      <c r="O92" s="49"/>
      <c r="P92" s="49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</row>
    <row r="93" spans="1:40" ht="15.75">
      <c r="A93" s="33"/>
      <c r="B93" s="36"/>
      <c r="C93" s="36"/>
      <c r="D93" s="36"/>
      <c r="E93" s="36"/>
      <c r="F93" s="36"/>
      <c r="G93" s="35"/>
      <c r="H93" s="49"/>
      <c r="I93" s="49"/>
      <c r="J93" s="49"/>
      <c r="K93" s="50"/>
      <c r="L93" s="49"/>
      <c r="M93" s="49"/>
      <c r="N93" s="49"/>
      <c r="O93" s="49"/>
      <c r="P93" s="49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</row>
    <row r="94" spans="1:40" ht="15.75">
      <c r="A94" s="33"/>
      <c r="B94" s="36"/>
      <c r="C94" s="36"/>
      <c r="D94" s="36"/>
      <c r="E94" s="36"/>
      <c r="F94" s="36"/>
      <c r="G94" s="35"/>
      <c r="H94" s="49"/>
      <c r="I94" s="49"/>
      <c r="J94" s="49"/>
      <c r="K94" s="50"/>
      <c r="L94" s="49"/>
      <c r="M94" s="49"/>
      <c r="N94" s="49"/>
      <c r="O94" s="49"/>
      <c r="P94" s="49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</row>
    <row r="95" spans="1:40" ht="15.75">
      <c r="A95" s="33"/>
      <c r="B95" s="36"/>
      <c r="C95" s="36"/>
      <c r="D95" s="36"/>
      <c r="E95" s="36"/>
      <c r="F95" s="36"/>
      <c r="G95" s="35"/>
      <c r="H95" s="49"/>
      <c r="I95" s="49"/>
      <c r="J95" s="49"/>
      <c r="K95" s="50"/>
      <c r="L95" s="49"/>
      <c r="M95" s="49"/>
      <c r="N95" s="49"/>
      <c r="O95" s="49"/>
      <c r="P95" s="49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</row>
    <row r="96" spans="1:40" ht="15.75">
      <c r="A96" s="33"/>
      <c r="B96" s="36"/>
      <c r="C96" s="36"/>
      <c r="D96" s="36"/>
      <c r="E96" s="36"/>
      <c r="F96" s="36"/>
      <c r="G96" s="35"/>
      <c r="H96" s="49"/>
      <c r="I96" s="49"/>
      <c r="J96" s="49"/>
      <c r="K96" s="50"/>
      <c r="L96" s="49"/>
      <c r="M96" s="49"/>
      <c r="N96" s="49"/>
      <c r="O96" s="49"/>
      <c r="P96" s="49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</row>
    <row r="97" spans="1:40" ht="15.75">
      <c r="A97" s="33"/>
      <c r="B97" s="36"/>
      <c r="C97" s="36"/>
      <c r="D97" s="36"/>
      <c r="E97" s="36"/>
      <c r="F97" s="36"/>
      <c r="G97" s="35"/>
      <c r="H97" s="49"/>
      <c r="I97" s="49"/>
      <c r="J97" s="49"/>
      <c r="K97" s="49"/>
      <c r="L97" s="49"/>
      <c r="M97" s="49"/>
      <c r="N97" s="49"/>
      <c r="O97" s="49"/>
      <c r="P97" s="49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</row>
    <row r="98" spans="1:40"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</row>
    <row r="99" spans="1:40"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</row>
    <row r="100" spans="1:40"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</row>
    <row r="101" spans="1:40"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</row>
    <row r="102" spans="1:40"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</row>
    <row r="103" spans="1:40"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</row>
    <row r="104" spans="1:40"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</row>
    <row r="105" spans="1:40"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</row>
    <row r="106" spans="1:40"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</row>
    <row r="107" spans="1:40"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</row>
    <row r="108" spans="1:40"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</row>
    <row r="109" spans="1:40"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</row>
  </sheetData>
  <mergeCells count="17">
    <mergeCell ref="K1:P1"/>
    <mergeCell ref="Q1:V1"/>
    <mergeCell ref="A9:A10"/>
    <mergeCell ref="B9:B10"/>
    <mergeCell ref="C9:C10"/>
    <mergeCell ref="D9:D10"/>
    <mergeCell ref="E9:E10"/>
    <mergeCell ref="F9:F10"/>
    <mergeCell ref="G9:G10"/>
    <mergeCell ref="G1:J1"/>
    <mergeCell ref="H9:W9"/>
    <mergeCell ref="X9:AM9"/>
    <mergeCell ref="AN9:AN10"/>
    <mergeCell ref="G3:G7"/>
    <mergeCell ref="H3:H7"/>
    <mergeCell ref="I3:I7"/>
    <mergeCell ref="J3:J7"/>
  </mergeCells>
  <phoneticPr fontId="12"/>
  <conditionalFormatting sqref="S98:S1003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12:P1003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19:L998">
    <cfRule type="expression" dxfId="7" priority="7" stopIfTrue="1">
      <formula>INDIRECT("L"&amp;ROW())="Fail"</formula>
    </cfRule>
  </conditionalFormatting>
  <conditionalFormatting sqref="G11:G998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11:I1003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11:L1003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22:N97 J36:J97 K97" xr:uid="{63BF5A5E-1CBE-48A3-99F8-277D0089275B}">
      <formula1>$F$2:$I$2</formula1>
    </dataValidation>
    <dataValidation type="list" allowBlank="1" showInputMessage="1" showErrorMessage="1" sqref="L11:L97 P12:P97 I11:I97" xr:uid="{9080B43F-3C5A-4367-BF09-34E2177FF6C7}">
      <formula1>$K$2:$N$2</formula1>
    </dataValidation>
    <dataValidation type="list" allowBlank="1" showInputMessage="1" showErrorMessage="1" sqref="G11:G97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4AE728-40F3-404B-A90C-CAC20CF1D9BC}"/>
</file>

<file path=customXml/itemProps2.xml><?xml version="1.0" encoding="utf-8"?>
<ds:datastoreItem xmlns:ds="http://schemas.openxmlformats.org/officeDocument/2006/customXml" ds:itemID="{03AFF7A5-F3C1-400A-A7C8-AA75592902F2}">
  <ds:schemaRefs>
    <ds:schemaRef ds:uri="http://schemas.microsoft.com/office/2006/metadata/properties"/>
    <ds:schemaRef ds:uri="http://schemas.microsoft.com/office/infopath/2007/PartnerControls"/>
    <ds:schemaRef ds:uri="e1980118-7448-4ead-97fb-a856878e6ae4"/>
    <ds:schemaRef ds:uri="9ddc0750-edb1-4b91-b5bd-a8d23f10e42a"/>
  </ds:schemaRefs>
</ds:datastoreItem>
</file>

<file path=customXml/itemProps3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2023-09-18T10:09:27Z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