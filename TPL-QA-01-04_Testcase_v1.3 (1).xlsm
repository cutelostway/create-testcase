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ind\PycharmProjects\Streamlit-Langgraph\"/>
    </mc:Choice>
  </mc:AlternateContent>
  <xr:revisionPtr revIDLastSave="0" documentId="13_ncr:1_{2972D064-F3CD-4C88-9319-D9D7965CD6A3}" xr6:coauthVersionLast="47" xr6:coauthVersionMax="47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2" i="20" l="1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U26" i="20"/>
  <c r="T26" i="20"/>
  <c r="S26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D26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U25" i="20"/>
  <c r="T25" i="20"/>
  <c r="S25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D25" i="20"/>
  <c r="B31" i="20"/>
  <c r="B25" i="20"/>
  <c r="C32" i="20"/>
  <c r="C26" i="20"/>
  <c r="C19" i="20"/>
  <c r="R19" i="20" s="1"/>
  <c r="C12" i="20"/>
  <c r="C31" i="20"/>
  <c r="C25" i="20"/>
  <c r="C18" i="20"/>
  <c r="C11" i="20"/>
  <c r="V4" i="66"/>
  <c r="U4" i="66"/>
  <c r="S4" i="66"/>
  <c r="T4" i="66"/>
  <c r="R4" i="66"/>
  <c r="Q4" i="66"/>
  <c r="S7" i="66"/>
  <c r="P4" i="66"/>
  <c r="O4" i="66"/>
  <c r="M4" i="66"/>
  <c r="N4" i="66"/>
  <c r="L4" i="66"/>
  <c r="K4" i="66"/>
  <c r="L7" i="66"/>
  <c r="V3" i="66"/>
  <c r="U3" i="66"/>
  <c r="S3" i="66"/>
  <c r="T3" i="66"/>
  <c r="R3" i="66"/>
  <c r="Q3" i="66"/>
  <c r="P7" i="66"/>
  <c r="P3" i="66"/>
  <c r="O3" i="66"/>
  <c r="M3" i="66"/>
  <c r="N3" i="66"/>
  <c r="L3" i="66"/>
  <c r="K3" i="66"/>
  <c r="I7" i="66"/>
  <c r="F4" i="66"/>
  <c r="F3" i="66"/>
  <c r="R12" i="20" l="1"/>
  <c r="H18" i="20"/>
  <c r="E11" i="20"/>
  <c r="H12" i="20"/>
  <c r="M12" i="20"/>
  <c r="K18" i="20"/>
  <c r="I12" i="20"/>
  <c r="Q12" i="20"/>
  <c r="G19" i="20"/>
  <c r="O19" i="20"/>
  <c r="M19" i="20"/>
  <c r="J11" i="20"/>
  <c r="H19" i="20"/>
  <c r="M18" i="20"/>
  <c r="M20" i="20" s="1"/>
  <c r="R18" i="20"/>
  <c r="R20" i="20" s="1"/>
  <c r="M11" i="20"/>
  <c r="M13" i="20" s="1"/>
  <c r="R11" i="20"/>
  <c r="R13" i="20" s="1"/>
  <c r="D11" i="20"/>
  <c r="L11" i="20"/>
  <c r="J18" i="20"/>
  <c r="P12" i="20"/>
  <c r="F19" i="20"/>
  <c r="N19" i="20"/>
  <c r="U19" i="20" s="1"/>
  <c r="F11" i="20"/>
  <c r="N11" i="20"/>
  <c r="D18" i="20"/>
  <c r="L18" i="20"/>
  <c r="J12" i="20"/>
  <c r="P19" i="20"/>
  <c r="H11" i="20"/>
  <c r="H13" i="20" s="1"/>
  <c r="G11" i="20"/>
  <c r="O11" i="20"/>
  <c r="E18" i="20"/>
  <c r="K12" i="20"/>
  <c r="I19" i="20"/>
  <c r="Q19" i="20"/>
  <c r="P11" i="20"/>
  <c r="P13" i="20" s="1"/>
  <c r="F18" i="20"/>
  <c r="F20" i="20" s="1"/>
  <c r="N18" i="20"/>
  <c r="N20" i="20" s="1"/>
  <c r="D12" i="20"/>
  <c r="L12" i="20"/>
  <c r="W12" i="20" s="1"/>
  <c r="J19" i="20"/>
  <c r="I11" i="20"/>
  <c r="I13" i="20" s="1"/>
  <c r="Q11" i="20"/>
  <c r="G18" i="20"/>
  <c r="G20" i="20" s="1"/>
  <c r="O18" i="20"/>
  <c r="O20" i="20" s="1"/>
  <c r="E12" i="20"/>
  <c r="K19" i="20"/>
  <c r="P18" i="20"/>
  <c r="F12" i="20"/>
  <c r="F5" i="20" s="1"/>
  <c r="N12" i="20"/>
  <c r="D19" i="20"/>
  <c r="V19" i="20" s="1"/>
  <c r="L19" i="20"/>
  <c r="K11" i="20"/>
  <c r="K13" i="20" s="1"/>
  <c r="I18" i="20"/>
  <c r="Q18" i="20"/>
  <c r="G12" i="20"/>
  <c r="O12" i="20"/>
  <c r="E19" i="20"/>
  <c r="H5" i="20"/>
  <c r="D5" i="20"/>
  <c r="X12" i="20"/>
  <c r="S18" i="20"/>
  <c r="W11" i="20"/>
  <c r="W13" i="20" s="1"/>
  <c r="D4" i="20"/>
  <c r="B3" i="66"/>
  <c r="B2" i="66"/>
  <c r="A14" i="66"/>
  <c r="A13" i="66"/>
  <c r="A12" i="66"/>
  <c r="A11" i="66"/>
  <c r="A9" i="66"/>
  <c r="A8" i="66"/>
  <c r="I3" i="66"/>
  <c r="H3" i="66"/>
  <c r="G3" i="66"/>
  <c r="O5" i="20" l="1"/>
  <c r="O4" i="20"/>
  <c r="P20" i="20"/>
  <c r="W19" i="20"/>
  <c r="X19" i="20"/>
  <c r="X18" i="20"/>
  <c r="X20" i="20" s="1"/>
  <c r="Q20" i="20"/>
  <c r="O13" i="20"/>
  <c r="F13" i="20"/>
  <c r="G13" i="20"/>
  <c r="K20" i="20"/>
  <c r="X11" i="20"/>
  <c r="X13" i="20" s="1"/>
  <c r="Q13" i="20"/>
  <c r="J20" i="20"/>
  <c r="J13" i="20"/>
  <c r="K4" i="20"/>
  <c r="I20" i="20"/>
  <c r="L20" i="20"/>
  <c r="L13" i="20"/>
  <c r="E13" i="20"/>
  <c r="D20" i="20"/>
  <c r="D13" i="20"/>
  <c r="H20" i="20"/>
  <c r="S12" i="20"/>
  <c r="E20" i="20"/>
  <c r="N13" i="20"/>
  <c r="N4" i="20"/>
  <c r="G5" i="20"/>
  <c r="I5" i="20" s="1"/>
  <c r="E5" i="20"/>
  <c r="E4" i="20"/>
  <c r="L5" i="20"/>
  <c r="U12" i="20"/>
  <c r="S19" i="20"/>
  <c r="S20" i="20" s="1"/>
  <c r="G4" i="20"/>
  <c r="U11" i="20"/>
  <c r="U13" i="20" s="1"/>
  <c r="T11" i="20"/>
  <c r="T13" i="20" s="1"/>
  <c r="K5" i="20"/>
  <c r="V12" i="20"/>
  <c r="T12" i="20"/>
  <c r="N5" i="20"/>
  <c r="T19" i="20"/>
  <c r="V18" i="20"/>
  <c r="V20" i="20" s="1"/>
  <c r="F4" i="20"/>
  <c r="U18" i="20"/>
  <c r="U20" i="20" s="1"/>
  <c r="M4" i="20"/>
  <c r="V11" i="20"/>
  <c r="V13" i="20" s="1"/>
  <c r="M5" i="20"/>
  <c r="H4" i="20"/>
  <c r="J4" i="20" s="1"/>
  <c r="S11" i="20"/>
  <c r="S13" i="20" s="1"/>
  <c r="L4" i="20"/>
  <c r="T18" i="20"/>
  <c r="W18" i="20"/>
  <c r="W20" i="20" s="1"/>
  <c r="A10" i="66"/>
  <c r="J3" i="66"/>
  <c r="P4" i="20" l="1"/>
  <c r="Q5" i="20"/>
  <c r="T20" i="20"/>
  <c r="Q4" i="20"/>
  <c r="P5" i="20"/>
  <c r="J5" i="20"/>
  <c r="I4" i="20"/>
</calcChain>
</file>

<file path=xl/sharedStrings.xml><?xml version="1.0" encoding="utf-8"?>
<sst xmlns="http://schemas.openxmlformats.org/spreadsheetml/2006/main" count="204" uniqueCount="75">
  <si>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</si>
  <si>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</si>
  <si>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</si>
  <si>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</si>
  <si>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</si>
  <si>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</si>
  <si>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</si>
  <si>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</si>
  <si>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</si>
  <si>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</si>
  <si>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</si>
  <si>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</si>
  <si>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</si>
  <si>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</si>
  <si>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</si>
  <si>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</si>
  <si>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</si>
  <si>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</si>
  <si>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</si>
  <si>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</si>
  <si>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</si>
  <si>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</si>
  <si>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</si>
  <si>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</si>
  <si>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</si>
  <si>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</si>
  <si>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</si>
  <si>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</si>
  <si>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</si>
  <si>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</si>
  <si>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Module 1</t>
    <phoneticPr fontId="12"/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</si>
  <si>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</si>
  <si>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</si>
  <si>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</si>
  <si>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</si>
  <si>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</si>
  <si>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</si>
  <si>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</si>
  <si>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</si>
  <si>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</si>
  <si>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</si>
  <si>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</si>
  <si>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</si>
  <si>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</si>
  <si>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</si>
  <si>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</si>
  <si>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Test result round 1</t>
    <phoneticPr fontId="12"/>
  </si>
  <si>
    <t>Test result round 2</t>
    <phoneticPr fontId="12"/>
  </si>
  <si>
    <t>BugID</t>
    <phoneticPr fontId="12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</si>
  <si>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</si>
  <si>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</si>
  <si>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</si>
  <si>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</si>
  <si>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</si>
  <si>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</si>
  <si>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% Coverage</t>
  </si>
  <si>
    <t>% Pass converage</t>
  </si>
  <si>
    <t>Round 2</t>
    <phoneticPr fontId="12"/>
  </si>
  <si>
    <t>Round1</t>
  </si>
  <si>
    <t>Test Result</t>
  </si>
  <si>
    <t>Normal</t>
    <phoneticPr fontId="12"/>
  </si>
  <si>
    <t>Low</t>
    <phoneticPr fontId="12"/>
  </si>
  <si>
    <t>Test coverage (%)</t>
  </si>
  <si>
    <t>Pass coverage (%)</t>
    <phoneticPr fontId="12"/>
  </si>
  <si>
    <t>Total:</t>
  </si>
  <si>
    <t>No</t>
  </si>
  <si>
    <t>Module/Function</t>
  </si>
  <si>
    <t>Total TC</t>
  </si>
  <si>
    <t>Creator</t>
  </si>
  <si>
    <t>Round 2 in detail</t>
    <phoneticPr fontId="12"/>
  </si>
  <si>
    <t>Chrome</t>
  </si>
  <si>
    <t>Edge</t>
  </si>
  <si>
    <t>General statistic</t>
    <phoneticPr fontId="12"/>
  </si>
  <si>
    <t>Round base statistic</t>
    <phoneticPr fontId="12"/>
  </si>
  <si>
    <t>Round 1 in detail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</si>
</sst>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"/>
  </numFmts>
  <fonts count="20" x14ac:knownFonts="1">
    <font>
      <sz val="11"/>
      <color theme="1"/>
      <name val="ＭＳ Ｐゴシック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ＭＳ Ｐゴシック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26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1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76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76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76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176" fontId="11" fillId="6" borderId="3" xfId="0" applyNumberFormat="1" applyFont="1" applyFill="1" applyBorder="1" applyAlignment="1">
      <alignment horizontal="center" vertical="center" wrapText="1"/>
    </xf>
    <xf numFmtId="176" fontId="11" fillId="6" borderId="6" xfId="0" applyNumberFormat="1" applyFont="1" applyFill="1" applyBorder="1" applyAlignment="1">
      <alignment horizontal="center" vertical="center" wrapText="1"/>
    </xf>
    <xf numFmtId="176" fontId="11" fillId="6" borderId="7" xfId="0" applyNumberFormat="1" applyFont="1" applyFill="1" applyBorder="1" applyAlignment="1">
      <alignment horizontal="center" vertical="center" wrapText="1"/>
    </xf>
    <xf numFmtId="176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4" fillId="12" borderId="11" xfId="0" applyFont="1" applyFill="1" applyBorder="1" applyAlignment="1">
      <alignment horizontal="center" vertical="center" wrapText="1"/>
    </xf>
    <xf numFmtId="0" fontId="13" fillId="13" borderId="11" xfId="0" applyFont="1" applyFill="1" applyBorder="1" applyAlignment="1">
      <alignment horizontal="center" vertical="center" wrapText="1"/>
    </xf>
    <xf numFmtId="0" fontId="14" fillId="13" borderId="11" xfId="0" applyFont="1" applyFill="1" applyBorder="1" applyAlignment="1">
      <alignment horizontal="center" vertical="center" wrapText="1"/>
    </xf>
    <xf numFmtId="9" fontId="8" fillId="13" borderId="11" xfId="0" applyNumberFormat="1" applyFont="1" applyFill="1" applyBorder="1" applyAlignment="1">
      <alignment horizontal="center" vertical="center" wrapText="1"/>
    </xf>
    <xf numFmtId="0" fontId="13" fillId="14" borderId="11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9" fontId="8" fillId="14" borderId="11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5" borderId="12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3" fillId="16" borderId="11" xfId="0" applyFont="1" applyFill="1" applyBorder="1" applyAlignment="1">
      <alignment horizontal="center" vertical="center" wrapText="1"/>
    </xf>
    <xf numFmtId="0" fontId="14" fillId="16" borderId="11" xfId="0" applyFont="1" applyFill="1" applyBorder="1" applyAlignment="1">
      <alignment horizontal="center" vertical="center" wrapText="1"/>
    </xf>
    <xf numFmtId="0" fontId="13" fillId="17" borderId="11" xfId="0" applyFont="1" applyFill="1" applyBorder="1" applyAlignment="1">
      <alignment horizontal="center" vertical="center" wrapText="1"/>
    </xf>
    <xf numFmtId="0" fontId="14" fillId="17" borderId="11" xfId="0" applyFont="1" applyFill="1" applyBorder="1" applyAlignment="1">
      <alignment horizontal="center" vertical="center" wrapText="1"/>
    </xf>
    <xf numFmtId="0" fontId="13" fillId="18" borderId="11" xfId="0" applyFont="1" applyFill="1" applyBorder="1" applyAlignment="1">
      <alignment horizontal="center" vertical="center" wrapText="1"/>
    </xf>
    <xf numFmtId="0" fontId="14" fillId="18" borderId="11" xfId="0" applyFont="1" applyFill="1" applyBorder="1" applyAlignment="1">
      <alignment horizontal="center" vertical="center" wrapText="1"/>
    </xf>
    <xf numFmtId="0" fontId="14" fillId="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3" fillId="16" borderId="16" xfId="0" applyFont="1" applyFill="1" applyBorder="1" applyAlignment="1">
      <alignment horizontal="center" vertical="center" wrapText="1"/>
    </xf>
    <xf numFmtId="0" fontId="14" fillId="16" borderId="16" xfId="0" applyFont="1" applyFill="1" applyBorder="1" applyAlignment="1">
      <alignment horizontal="center" vertical="center" wrapText="1"/>
    </xf>
    <xf numFmtId="0" fontId="13" fillId="17" borderId="16" xfId="0" applyFont="1" applyFill="1" applyBorder="1" applyAlignment="1">
      <alignment horizontal="center" vertical="center" wrapText="1"/>
    </xf>
    <xf numFmtId="0" fontId="14" fillId="17" borderId="16" xfId="0" applyFont="1" applyFill="1" applyBorder="1" applyAlignment="1">
      <alignment horizontal="center" vertical="center" wrapText="1"/>
    </xf>
    <xf numFmtId="0" fontId="13" fillId="18" borderId="16" xfId="0" applyFont="1" applyFill="1" applyBorder="1" applyAlignment="1">
      <alignment horizontal="center" vertical="center" wrapText="1"/>
    </xf>
    <xf numFmtId="0" fontId="14" fillId="18" borderId="16" xfId="0" applyFont="1" applyFill="1" applyBorder="1" applyAlignment="1">
      <alignment horizontal="center" vertical="center" wrapText="1"/>
    </xf>
    <xf numFmtId="0" fontId="14" fillId="5" borderId="16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176" fontId="11" fillId="9" borderId="22" xfId="0" applyNumberFormat="1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right" vertical="center" wrapText="1"/>
    </xf>
    <xf numFmtId="0" fontId="4" fillId="7" borderId="22" xfId="0" applyFont="1" applyFill="1" applyBorder="1" applyAlignment="1">
      <alignment horizontal="center" vertical="center" wrapText="1"/>
    </xf>
    <xf numFmtId="9" fontId="4" fillId="7" borderId="22" xfId="0" applyNumberFormat="1" applyFont="1" applyFill="1" applyBorder="1" applyAlignment="1">
      <alignment horizontal="center" vertical="center" wrapText="1"/>
    </xf>
    <xf numFmtId="176" fontId="11" fillId="9" borderId="16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right" vertical="center" wrapText="1"/>
    </xf>
    <xf numFmtId="0" fontId="4" fillId="7" borderId="16" xfId="0" applyFont="1" applyFill="1" applyBorder="1" applyAlignment="1">
      <alignment horizontal="center" vertical="center" wrapText="1"/>
    </xf>
    <xf numFmtId="9" fontId="4" fillId="7" borderId="16" xfId="0" applyNumberFormat="1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vertical="center" wrapText="1"/>
    </xf>
    <xf numFmtId="14" fontId="4" fillId="0" borderId="11" xfId="0" applyNumberFormat="1" applyFont="1" applyFill="1" applyBorder="1" applyAlignment="1">
      <alignment vertical="center" wrapText="1"/>
    </xf>
    <xf numFmtId="0" fontId="0" fillId="0" borderId="11" xfId="0" applyFill="1" applyBorder="1" applyAlignment="1"/>
    <xf numFmtId="0" fontId="13" fillId="5" borderId="23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3" fillId="5" borderId="13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75" defaultRowHeight="15.75" x14ac:dyDescent="0.15"/>
  <cols>
    <col min="1" max="1" width="4.875" style="5" customWidth="1"/>
    <col min="2" max="2" width="16" style="5" customWidth="1"/>
    <col min="3" max="3" width="9" style="5" customWidth="1"/>
    <col min="4" max="4" width="22.375" style="5" customWidth="1"/>
    <col min="5" max="5" width="9.375" style="5" customWidth="1"/>
    <col min="6" max="6" width="18.625" style="5" customWidth="1"/>
    <col min="7" max="7" width="18.375" style="5" customWidth="1"/>
    <col min="8" max="8" width="12.875" style="5" customWidth="1"/>
    <col min="9" max="16384" width="8.875" style="5"/>
  </cols>
  <sheetData>
    <row r="1" spans="1:8" ht="39.75" customHeight="1" x14ac:dyDescent="0.15">
      <c r="A1" s="8"/>
      <c r="B1" s="7"/>
      <c r="C1" s="9"/>
      <c r="D1" s="12" t="s">
        <v>0</v>
      </c>
      <c r="E1" s="9"/>
      <c r="F1" s="9"/>
      <c r="G1" s="9"/>
      <c r="H1" s="6"/>
    </row>
    <row r="2" spans="1:8" x14ac:dyDescent="0.15">
      <c r="A2" s="8"/>
      <c r="B2" s="7"/>
      <c r="C2" s="9"/>
      <c r="D2" s="9"/>
      <c r="E2" s="9"/>
      <c r="F2" s="9"/>
      <c r="G2" s="9"/>
      <c r="H2" s="6"/>
    </row>
    <row r="3" spans="1:8" x14ac:dyDescent="0.15">
      <c r="A3" s="8"/>
      <c r="B3" s="41" t="s">
        <v>1</v>
      </c>
      <c r="C3" s="41"/>
      <c r="D3" s="21" t="s">
        <v>2</v>
      </c>
      <c r="E3" s="41" t="s">
        <v>3</v>
      </c>
      <c r="F3" s="41"/>
      <c r="G3" s="42" t="s">
        <v>4</v>
      </c>
      <c r="H3" s="43"/>
    </row>
    <row r="4" spans="1:8" x14ac:dyDescent="0.15">
      <c r="A4" s="8"/>
      <c r="B4" s="41" t="s">
        <v>5</v>
      </c>
      <c r="C4" s="41"/>
      <c r="D4" s="21" t="s">
        <v>6</v>
      </c>
      <c r="E4" s="41" t="s">
        <v>7</v>
      </c>
      <c r="F4" s="41"/>
      <c r="G4" s="44"/>
      <c r="H4" s="45"/>
    </row>
    <row r="5" spans="1:8" x14ac:dyDescent="0.15">
      <c r="A5" s="8"/>
      <c r="B5" s="7"/>
      <c r="C5" s="9"/>
      <c r="D5" s="9"/>
      <c r="E5" s="9"/>
      <c r="F5" s="9"/>
      <c r="G5" s="9"/>
      <c r="H5" s="6"/>
    </row>
    <row r="6" spans="1:8" x14ac:dyDescent="0.15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 x14ac:dyDescent="0.1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 x14ac:dyDescent="0.15">
      <c r="A8" s="8"/>
      <c r="B8" s="23"/>
      <c r="C8" s="24"/>
      <c r="D8" s="25"/>
      <c r="E8" s="26"/>
      <c r="F8" s="27"/>
      <c r="G8" s="23"/>
      <c r="H8" s="28"/>
    </row>
    <row r="9" spans="1:8" x14ac:dyDescent="0.15">
      <c r="A9" s="8"/>
      <c r="B9" s="29"/>
      <c r="C9" s="24"/>
      <c r="D9" s="25"/>
      <c r="E9" s="26"/>
      <c r="F9" s="27"/>
      <c r="G9" s="25"/>
      <c r="H9" s="28"/>
    </row>
    <row r="10" spans="1:8" x14ac:dyDescent="0.15">
      <c r="A10" s="8"/>
      <c r="B10" s="29"/>
      <c r="C10" s="24"/>
      <c r="D10" s="25"/>
      <c r="E10" s="26"/>
      <c r="F10" s="27"/>
      <c r="G10" s="25"/>
      <c r="H10" s="28"/>
    </row>
    <row r="11" spans="1:8" x14ac:dyDescent="0.15">
      <c r="A11" s="8"/>
      <c r="B11" s="29"/>
      <c r="C11" s="24"/>
      <c r="D11" s="25"/>
      <c r="E11" s="26"/>
      <c r="F11" s="27"/>
      <c r="G11" s="25"/>
      <c r="H11" s="28"/>
    </row>
    <row r="12" spans="1:8" x14ac:dyDescent="0.15">
      <c r="A12" s="8"/>
      <c r="B12" s="29"/>
      <c r="C12" s="24"/>
      <c r="D12" s="25"/>
      <c r="E12" s="26"/>
      <c r="F12" s="27"/>
      <c r="G12" s="25"/>
      <c r="H12" s="28"/>
    </row>
    <row r="13" spans="1:8" x14ac:dyDescent="0.15">
      <c r="A13" s="8"/>
      <c r="B13" s="29"/>
      <c r="C13" s="24"/>
      <c r="D13" s="25"/>
      <c r="E13" s="26"/>
      <c r="F13" s="27"/>
      <c r="G13" s="25"/>
      <c r="H13" s="28"/>
    </row>
    <row r="14" spans="1:8" x14ac:dyDescent="0.15">
      <c r="A14" s="8"/>
      <c r="B14" s="29"/>
      <c r="C14" s="24"/>
      <c r="D14" s="25"/>
      <c r="E14" s="26"/>
      <c r="F14" s="27"/>
      <c r="G14" s="25"/>
      <c r="H14" s="28"/>
    </row>
    <row r="15" spans="1:8" x14ac:dyDescent="0.15">
      <c r="A15" s="8"/>
      <c r="B15" s="29"/>
      <c r="C15" s="24"/>
      <c r="D15" s="25"/>
      <c r="E15" s="26"/>
      <c r="F15" s="27"/>
      <c r="G15" s="25"/>
      <c r="H15" s="28"/>
    </row>
    <row r="16" spans="1:8" x14ac:dyDescent="0.15">
      <c r="A16" s="8"/>
      <c r="B16" s="29"/>
      <c r="C16" s="24"/>
      <c r="D16" s="25"/>
      <c r="E16" s="26"/>
      <c r="F16" s="27"/>
      <c r="G16" s="25"/>
      <c r="H16" s="28"/>
    </row>
    <row r="17" spans="1:8" x14ac:dyDescent="0.15">
      <c r="A17" s="8"/>
      <c r="B17" s="29"/>
      <c r="C17" s="24"/>
      <c r="D17" s="25"/>
      <c r="E17" s="26"/>
      <c r="F17" s="27"/>
      <c r="G17" s="25"/>
      <c r="H17" s="28"/>
    </row>
    <row r="18" spans="1:8" x14ac:dyDescent="0.15">
      <c r="A18" s="8"/>
      <c r="B18" s="29"/>
      <c r="C18" s="24"/>
      <c r="D18" s="25"/>
      <c r="E18" s="26"/>
      <c r="F18" s="27"/>
      <c r="G18" s="25"/>
      <c r="H18" s="28"/>
    </row>
    <row r="19" spans="1:8" x14ac:dyDescent="0.15">
      <c r="A19" s="8"/>
      <c r="B19" s="8"/>
      <c r="C19" s="8"/>
      <c r="D19" s="8"/>
      <c r="E19" s="8"/>
      <c r="F19" s="8"/>
      <c r="G19" s="8"/>
      <c r="H19" s="6"/>
    </row>
    <row r="20" spans="1:8" x14ac:dyDescent="0.15">
      <c r="A20" s="8"/>
      <c r="B20" s="8"/>
      <c r="C20" s="8"/>
      <c r="D20" s="8"/>
      <c r="E20" s="8"/>
      <c r="F20" s="8"/>
      <c r="G20" s="8"/>
      <c r="H20" s="6"/>
    </row>
    <row r="21" spans="1:8" x14ac:dyDescent="0.15">
      <c r="A21" s="8"/>
      <c r="B21" s="8"/>
      <c r="C21" s="8"/>
      <c r="D21" s="8"/>
      <c r="E21" s="8"/>
      <c r="F21" s="8"/>
      <c r="G21" s="8"/>
      <c r="H21" s="6"/>
    </row>
    <row r="22" spans="1:8" x14ac:dyDescent="0.15">
      <c r="A22" s="8"/>
      <c r="B22" s="8"/>
      <c r="C22" s="8"/>
      <c r="D22" s="8"/>
      <c r="E22" s="8"/>
      <c r="F22" s="8"/>
      <c r="G22" s="8"/>
      <c r="H22" s="6"/>
    </row>
    <row r="23" spans="1:8" x14ac:dyDescent="0.15">
      <c r="A23" s="8"/>
      <c r="B23" s="8"/>
      <c r="C23" s="8"/>
      <c r="D23" s="8"/>
      <c r="E23" s="8"/>
      <c r="F23" s="8"/>
      <c r="G23" s="8"/>
      <c r="H23" s="6"/>
    </row>
    <row r="24" spans="1:8" x14ac:dyDescent="0.15">
      <c r="A24" s="8"/>
      <c r="B24" s="8"/>
      <c r="C24" s="8"/>
      <c r="D24" s="8"/>
      <c r="E24" s="8"/>
      <c r="F24" s="8"/>
      <c r="G24" s="8"/>
      <c r="H24" s="6"/>
    </row>
    <row r="25" spans="1:8" x14ac:dyDescent="0.15">
      <c r="A25" s="8"/>
      <c r="B25" s="8"/>
      <c r="C25" s="8"/>
      <c r="D25" s="8"/>
      <c r="E25" s="8"/>
      <c r="F25" s="8"/>
      <c r="G25" s="8"/>
      <c r="H25" s="6"/>
    </row>
    <row r="26" spans="1:8" x14ac:dyDescent="0.15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32"/>
  <sheetViews>
    <sheetView tabSelected="1" zoomScale="90" zoomScaleNormal="90" zoomScalePageLayoutView="180" workbookViewId="0">
      <selection activeCell="A22" sqref="A22:B23"/>
    </sheetView>
  </sheetViews>
  <sheetFormatPr defaultColWidth="8.625" defaultRowHeight="15.75" x14ac:dyDescent="0.15"/>
  <cols>
    <col min="1" max="1" width="4.625" style="13" customWidth="1"/>
    <col min="2" max="2" width="16.625" style="13" customWidth="1"/>
    <col min="3" max="3" width="13.625" style="13" customWidth="1"/>
    <col min="4" max="7" width="10.125" style="13" customWidth="1"/>
    <col min="8" max="8" width="10.125" style="14" customWidth="1"/>
    <col min="9" max="12" width="10.125" style="13" customWidth="1"/>
    <col min="13" max="13" width="10.125" style="14" customWidth="1"/>
    <col min="14" max="17" width="10.125" style="13" customWidth="1"/>
    <col min="18" max="19" width="8.625" style="14"/>
    <col min="20" max="25" width="8.625" style="13"/>
    <col min="26" max="26" width="4.625" style="13" customWidth="1"/>
    <col min="27" max="27" width="16.625" style="13" customWidth="1"/>
    <col min="28" max="28" width="13.625" style="13" customWidth="1"/>
    <col min="29" max="49" width="10.125" style="13" customWidth="1"/>
    <col min="50" max="16384" width="8.625" style="13"/>
  </cols>
  <sheetData>
    <row r="2" spans="1:24" x14ac:dyDescent="0.15">
      <c r="A2" s="55"/>
      <c r="B2" s="55"/>
      <c r="C2" s="67"/>
      <c r="D2" s="57" t="s">
        <v>17</v>
      </c>
      <c r="E2" s="57"/>
      <c r="F2" s="57"/>
      <c r="G2" s="57"/>
      <c r="H2" s="57"/>
      <c r="I2" s="57"/>
      <c r="J2" s="57"/>
      <c r="K2" s="57" t="s">
        <v>57</v>
      </c>
      <c r="L2" s="57"/>
      <c r="M2" s="57"/>
      <c r="N2" s="57"/>
      <c r="O2" s="57"/>
      <c r="P2" s="57"/>
      <c r="Q2" s="57"/>
    </row>
    <row r="3" spans="1:24" ht="31.5" x14ac:dyDescent="0.15">
      <c r="A3" s="68" t="s">
        <v>72</v>
      </c>
      <c r="B3" s="92"/>
      <c r="C3" s="66"/>
      <c r="D3" s="58" t="s">
        <v>18</v>
      </c>
      <c r="E3" s="58" t="s">
        <v>19</v>
      </c>
      <c r="F3" s="58" t="s">
        <v>20</v>
      </c>
      <c r="G3" s="58" t="s">
        <v>21</v>
      </c>
      <c r="H3" s="58" t="s">
        <v>22</v>
      </c>
      <c r="I3" s="58" t="s">
        <v>55</v>
      </c>
      <c r="J3" s="58" t="s">
        <v>56</v>
      </c>
      <c r="K3" s="58" t="s">
        <v>18</v>
      </c>
      <c r="L3" s="58" t="s">
        <v>19</v>
      </c>
      <c r="M3" s="58" t="s">
        <v>20</v>
      </c>
      <c r="N3" s="58" t="s">
        <v>21</v>
      </c>
      <c r="O3" s="58" t="s">
        <v>22</v>
      </c>
      <c r="P3" s="58" t="s">
        <v>55</v>
      </c>
      <c r="Q3" s="58" t="s">
        <v>56</v>
      </c>
    </row>
    <row r="4" spans="1:24" x14ac:dyDescent="0.15">
      <c r="A4" s="59" t="s">
        <v>23</v>
      </c>
      <c r="B4" s="93"/>
      <c r="C4" s="56" t="s">
        <v>70</v>
      </c>
      <c r="D4" s="60">
        <f>D11+I11+N11</f>
        <v>0</v>
      </c>
      <c r="E4" s="60">
        <f>E11+J11+O11</f>
        <v>0</v>
      </c>
      <c r="F4" s="60">
        <f>F11+K11+P11</f>
        <v>0</v>
      </c>
      <c r="G4" s="60">
        <f>G11+L11+Q11</f>
        <v>0</v>
      </c>
      <c r="H4" s="61">
        <f>H11+M11+R11</f>
        <v>3</v>
      </c>
      <c r="I4" s="62">
        <f>ROUND((D4+E4)*100/(H4-G4),2)</f>
        <v>0</v>
      </c>
      <c r="J4" s="62">
        <f>ROUND(D4*100/(H4-G4),2)</f>
        <v>0</v>
      </c>
      <c r="K4" s="63">
        <f>D18+I18+N18</f>
        <v>0</v>
      </c>
      <c r="L4" s="63">
        <f>E18+J18+O18</f>
        <v>0</v>
      </c>
      <c r="M4" s="63">
        <f>F18+K18+P18</f>
        <v>0</v>
      </c>
      <c r="N4" s="63">
        <f>G18+L18+Q18</f>
        <v>0</v>
      </c>
      <c r="O4" s="64">
        <f>H18+M18+R18</f>
        <v>3</v>
      </c>
      <c r="P4" s="65">
        <f>ROUND((K4+L4)*100/(O4-N4),2)</f>
        <v>0</v>
      </c>
      <c r="Q4" s="65">
        <f>ROUND(K4*100/(O4-N4),2)</f>
        <v>0</v>
      </c>
    </row>
    <row r="5" spans="1:24" x14ac:dyDescent="0.15">
      <c r="A5" s="59"/>
      <c r="B5" s="93"/>
      <c r="C5" s="56" t="s">
        <v>71</v>
      </c>
      <c r="D5" s="60">
        <f>D12+I12+N12</f>
        <v>0</v>
      </c>
      <c r="E5" s="60">
        <f>E12+J12+O12</f>
        <v>0</v>
      </c>
      <c r="F5" s="60">
        <f>F12+K12+P12</f>
        <v>0</v>
      </c>
      <c r="G5" s="60">
        <f>G12+L12+Q12</f>
        <v>0</v>
      </c>
      <c r="H5" s="61">
        <f>H12+M12+R12</f>
        <v>3</v>
      </c>
      <c r="I5" s="62">
        <f>ROUND((D5+E5)*100/(H5-G5),2)</f>
        <v>0</v>
      </c>
      <c r="J5" s="62">
        <f>ROUND(D5*100/(H5-G5),2)</f>
        <v>0</v>
      </c>
      <c r="K5" s="63">
        <f>D19+I19+N19</f>
        <v>0</v>
      </c>
      <c r="L5" s="63">
        <f>E19+J19+O19</f>
        <v>0</v>
      </c>
      <c r="M5" s="63">
        <f>F19+K19+P19</f>
        <v>0</v>
      </c>
      <c r="N5" s="63">
        <f>G19+L19+Q19</f>
        <v>0</v>
      </c>
      <c r="O5" s="64">
        <f>H19+M19+R19</f>
        <v>3</v>
      </c>
      <c r="P5" s="65">
        <f>ROUND((K5+L5)*100/(O5-N5),2)</f>
        <v>0</v>
      </c>
      <c r="Q5" s="65">
        <f>ROUND(K5*100/(O5-N5),2)</f>
        <v>0</v>
      </c>
    </row>
    <row r="7" spans="1:24" x14ac:dyDescent="0.15">
      <c r="A7" s="54" t="s">
        <v>73</v>
      </c>
      <c r="B7" s="94"/>
    </row>
    <row r="8" spans="1:24" x14ac:dyDescent="0.15">
      <c r="A8" s="57" t="s">
        <v>58</v>
      </c>
      <c r="B8" s="57"/>
      <c r="C8" s="57"/>
      <c r="D8" s="57" t="s">
        <v>59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 t="s">
        <v>62</v>
      </c>
      <c r="T8" s="57"/>
      <c r="U8" s="57"/>
      <c r="V8" s="57" t="s">
        <v>63</v>
      </c>
      <c r="W8" s="57"/>
      <c r="X8" s="57"/>
    </row>
    <row r="9" spans="1:24" x14ac:dyDescent="0.15">
      <c r="A9" s="57"/>
      <c r="B9" s="57"/>
      <c r="C9" s="57"/>
      <c r="D9" s="57" t="s">
        <v>24</v>
      </c>
      <c r="E9" s="57"/>
      <c r="F9" s="57"/>
      <c r="G9" s="57"/>
      <c r="H9" s="57"/>
      <c r="I9" s="57" t="s">
        <v>60</v>
      </c>
      <c r="J9" s="57"/>
      <c r="K9" s="57"/>
      <c r="L9" s="57"/>
      <c r="M9" s="57"/>
      <c r="N9" s="57" t="s">
        <v>61</v>
      </c>
      <c r="O9" s="57"/>
      <c r="P9" s="57"/>
      <c r="Q9" s="57"/>
      <c r="R9" s="57"/>
      <c r="S9" s="57" t="s">
        <v>24</v>
      </c>
      <c r="T9" s="57" t="s">
        <v>25</v>
      </c>
      <c r="U9" s="57" t="s">
        <v>26</v>
      </c>
      <c r="V9" s="57" t="s">
        <v>24</v>
      </c>
      <c r="W9" s="57" t="s">
        <v>25</v>
      </c>
      <c r="X9" s="57" t="s">
        <v>26</v>
      </c>
    </row>
    <row r="10" spans="1:24" x14ac:dyDescent="0.15">
      <c r="A10" s="57"/>
      <c r="B10" s="57"/>
      <c r="C10" s="57"/>
      <c r="D10" s="58" t="s">
        <v>18</v>
      </c>
      <c r="E10" s="58" t="s">
        <v>19</v>
      </c>
      <c r="F10" s="58" t="s">
        <v>20</v>
      </c>
      <c r="G10" s="58" t="s">
        <v>21</v>
      </c>
      <c r="H10" s="58" t="s">
        <v>22</v>
      </c>
      <c r="I10" s="58" t="s">
        <v>18</v>
      </c>
      <c r="J10" s="58" t="s">
        <v>19</v>
      </c>
      <c r="K10" s="58" t="s">
        <v>20</v>
      </c>
      <c r="L10" s="58" t="s">
        <v>21</v>
      </c>
      <c r="M10" s="58" t="s">
        <v>22</v>
      </c>
      <c r="N10" s="58" t="s">
        <v>18</v>
      </c>
      <c r="O10" s="58" t="s">
        <v>19</v>
      </c>
      <c r="P10" s="58" t="s">
        <v>20</v>
      </c>
      <c r="Q10" s="58" t="s">
        <v>21</v>
      </c>
      <c r="R10" s="58" t="s">
        <v>22</v>
      </c>
      <c r="S10" s="57"/>
      <c r="T10" s="57"/>
      <c r="U10" s="57"/>
      <c r="V10" s="57"/>
      <c r="W10" s="57"/>
      <c r="X10" s="57"/>
    </row>
    <row r="11" spans="1:24" x14ac:dyDescent="0.15">
      <c r="A11" s="59" t="s">
        <v>23</v>
      </c>
      <c r="B11" s="93"/>
      <c r="C11" s="56" t="str">
        <f>C4</f>
        <v>Chrome</v>
      </c>
      <c r="D11" s="69">
        <f>SUMIF(C25:C26,C11,D25:D26)</f>
        <v>0</v>
      </c>
      <c r="E11" s="69">
        <f>SUMIF(C25:C26,C11,E25:E26)</f>
        <v>0</v>
      </c>
      <c r="F11" s="69">
        <f>SUMIF(C25:C26,C11,F25:F26)</f>
        <v>0</v>
      </c>
      <c r="G11" s="69">
        <f>SUMIF(C25:C26,C11,G25:G26)</f>
        <v>0</v>
      </c>
      <c r="H11" s="70">
        <f>SUMIF(C25:C26,C11,H25:H26)</f>
        <v>1</v>
      </c>
      <c r="I11" s="71">
        <f>SUMIF(C25:C26,C11,I25:I26)</f>
        <v>0</v>
      </c>
      <c r="J11" s="71">
        <f>SUMIF(C25:C26,C11,J25:J26)</f>
        <v>0</v>
      </c>
      <c r="K11" s="71">
        <f>SUMIF(C25:C26,C11,K25:K26)</f>
        <v>0</v>
      </c>
      <c r="L11" s="71">
        <f>SUMIF(C25:C26,C11,L25:L26)</f>
        <v>0</v>
      </c>
      <c r="M11" s="72">
        <f>SUMIF(C25:C26,C11,M25:M26)</f>
        <v>1</v>
      </c>
      <c r="N11" s="73">
        <f>SUMIF(C25:C26,C11,N25:N26)</f>
        <v>0</v>
      </c>
      <c r="O11" s="73">
        <f>SUMIF(C25:C26,C11,O25:O26)</f>
        <v>0</v>
      </c>
      <c r="P11" s="73">
        <f>SUMIF(C25:C26,C11,P25:P26)</f>
        <v>0</v>
      </c>
      <c r="Q11" s="73">
        <f>SUMIF(C25:C26,C11,Q25:Q26)</f>
        <v>0</v>
      </c>
      <c r="R11" s="74">
        <f>SUMIF(C25:C26,C11,R25:R26)</f>
        <v>1</v>
      </c>
      <c r="S11" s="75">
        <f>ROUND((D11+E11)*100/(H11-G11),2)</f>
        <v>0</v>
      </c>
      <c r="T11" s="56">
        <f>ROUND((I11+J11)*100/(M11-L11),2)</f>
        <v>0</v>
      </c>
      <c r="U11" s="56">
        <f>ROUND((N11+O11)*100/(R11-Q11),2)</f>
        <v>0</v>
      </c>
      <c r="V11" s="75">
        <f>ROUND(D11*100/(H11-G11),2)</f>
        <v>0</v>
      </c>
      <c r="W11" s="56">
        <f>ROUND(I11*100/(M11-L11),2)</f>
        <v>0</v>
      </c>
      <c r="X11" s="56">
        <f>ROUND(N11*100/(R11-Q11),2)</f>
        <v>0</v>
      </c>
    </row>
    <row r="12" spans="1:24" x14ac:dyDescent="0.15">
      <c r="A12" s="59"/>
      <c r="B12" s="93"/>
      <c r="C12" s="56" t="str">
        <f>C5</f>
        <v>Edge</v>
      </c>
      <c r="D12" s="69">
        <f>SUMIF(C25:C26,C12,D25:D26)</f>
        <v>0</v>
      </c>
      <c r="E12" s="69">
        <f>SUMIF(C25:C26,C12,E25:E26)</f>
        <v>0</v>
      </c>
      <c r="F12" s="69">
        <f>SUMIF(C25:C26,C12,F25:F26)</f>
        <v>0</v>
      </c>
      <c r="G12" s="69">
        <f>SUMIF(C25:C26,C12,G25:G26)</f>
        <v>0</v>
      </c>
      <c r="H12" s="70">
        <f>SUMIF(C25:C26,C12,H25:H26)</f>
        <v>1</v>
      </c>
      <c r="I12" s="71">
        <f>SUMIF(C25:C26,C12,I25:I26)</f>
        <v>0</v>
      </c>
      <c r="J12" s="71">
        <f>SUMIF(C25:C26,C12,J25:J26)</f>
        <v>0</v>
      </c>
      <c r="K12" s="71">
        <f>SUMIF(C25:C26,C12,K25:K26)</f>
        <v>0</v>
      </c>
      <c r="L12" s="71">
        <f>SUMIF(C25:C26,C12,L25:L26)</f>
        <v>0</v>
      </c>
      <c r="M12" s="72">
        <f>SUMIF(C25:C26,C12,M25:M26)</f>
        <v>1</v>
      </c>
      <c r="N12" s="73">
        <f>SUMIF(C25:C26,C12,N25:N26)</f>
        <v>0</v>
      </c>
      <c r="O12" s="73">
        <f>SUMIF(C25:C26,C12,O25:O26)</f>
        <v>0</v>
      </c>
      <c r="P12" s="73">
        <f>SUMIF(C25:C26,C12,P25:P26)</f>
        <v>0</v>
      </c>
      <c r="Q12" s="73">
        <f>SUMIF(C25:C26,C12,Q25:Q26)</f>
        <v>0</v>
      </c>
      <c r="R12" s="74">
        <f>SUMIF(C25:C26,C12,R25:R26)</f>
        <v>1</v>
      </c>
      <c r="S12" s="75">
        <f>ROUND((D12+E12)*100/(H12-G12),2)</f>
        <v>0</v>
      </c>
      <c r="T12" s="56">
        <f>ROUND((I12+J12)*100/(M12-L12),2)</f>
        <v>0</v>
      </c>
      <c r="U12" s="56">
        <f>ROUND((N12+O12)*100/(R12-Q12),2)</f>
        <v>0</v>
      </c>
      <c r="V12" s="75">
        <f>ROUND(D12*100/(H12-G12),2)</f>
        <v>0</v>
      </c>
      <c r="W12" s="56">
        <f>ROUND(I12*100/(M12-L12),2)</f>
        <v>0</v>
      </c>
      <c r="X12" s="56">
        <f>ROUND(N12*100/(R12-Q12),2)</f>
        <v>0</v>
      </c>
    </row>
    <row r="13" spans="1:24" x14ac:dyDescent="0.15">
      <c r="A13" s="76" t="s">
        <v>64</v>
      </c>
      <c r="B13" s="76"/>
      <c r="C13" s="76"/>
      <c r="D13" s="77">
        <f>SUM(D11:D12)</f>
        <v>0</v>
      </c>
      <c r="E13" s="77">
        <f>SUM(E11:E12)</f>
        <v>0</v>
      </c>
      <c r="F13" s="77">
        <f>SUM(F11:F12)</f>
        <v>0</v>
      </c>
      <c r="G13" s="77">
        <f>SUM(G11:G12)</f>
        <v>0</v>
      </c>
      <c r="H13" s="77">
        <f>SUM(H11:H12)</f>
        <v>2</v>
      </c>
      <c r="I13" s="77">
        <f>SUM(I11:I12)</f>
        <v>0</v>
      </c>
      <c r="J13" s="77">
        <f>SUM(J11:J12)</f>
        <v>0</v>
      </c>
      <c r="K13" s="77">
        <f>SUM(K11:K12)</f>
        <v>0</v>
      </c>
      <c r="L13" s="77">
        <f>SUM(L11:L12)</f>
        <v>0</v>
      </c>
      <c r="M13" s="77">
        <f>SUM(M11:M12)</f>
        <v>2</v>
      </c>
      <c r="N13" s="77">
        <f>SUM(N11:N12)</f>
        <v>0</v>
      </c>
      <c r="O13" s="77">
        <f>SUM(O11:O12)</f>
        <v>0</v>
      </c>
      <c r="P13" s="77">
        <f>SUM(P11:P12)</f>
        <v>0</v>
      </c>
      <c r="Q13" s="77">
        <f>SUM(Q11:Q12)</f>
        <v>0</v>
      </c>
      <c r="R13" s="77">
        <f>SUM(R11:R12)</f>
        <v>2</v>
      </c>
      <c r="S13" s="77">
        <f>ROUND(AVERAGE(S11:S12),2)</f>
        <v>0</v>
      </c>
      <c r="T13" s="77">
        <f>ROUND(AVERAGE(T11:T12),2)</f>
        <v>0</v>
      </c>
      <c r="U13" s="77">
        <f>ROUND(AVERAGE(U11:U12),2)</f>
        <v>0</v>
      </c>
      <c r="V13" s="77">
        <f>ROUND(AVERAGE(V11:V12),2)</f>
        <v>0</v>
      </c>
      <c r="W13" s="77">
        <f>ROUND(AVERAGE(W11:W12),2)</f>
        <v>0</v>
      </c>
      <c r="X13" s="77">
        <f>ROUND(AVERAGE(X11:X12),2)</f>
        <v>0</v>
      </c>
    </row>
    <row r="15" spans="1:24" x14ac:dyDescent="0.15">
      <c r="A15" s="57" t="s">
        <v>57</v>
      </c>
      <c r="B15" s="57"/>
      <c r="C15" s="57"/>
      <c r="D15" s="57" t="s">
        <v>59</v>
      </c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 t="s">
        <v>62</v>
      </c>
      <c r="T15" s="57"/>
      <c r="U15" s="57"/>
      <c r="V15" s="57" t="s">
        <v>63</v>
      </c>
      <c r="W15" s="57"/>
      <c r="X15" s="57"/>
    </row>
    <row r="16" spans="1:24" x14ac:dyDescent="0.15">
      <c r="A16" s="57"/>
      <c r="B16" s="57"/>
      <c r="C16" s="57"/>
      <c r="D16" s="57" t="s">
        <v>24</v>
      </c>
      <c r="E16" s="57"/>
      <c r="F16" s="57"/>
      <c r="G16" s="57"/>
      <c r="H16" s="57"/>
      <c r="I16" s="57" t="s">
        <v>60</v>
      </c>
      <c r="J16" s="57"/>
      <c r="K16" s="57"/>
      <c r="L16" s="57"/>
      <c r="M16" s="57"/>
      <c r="N16" s="57" t="s">
        <v>61</v>
      </c>
      <c r="O16" s="57"/>
      <c r="P16" s="57"/>
      <c r="Q16" s="57"/>
      <c r="R16" s="57"/>
      <c r="S16" s="57" t="s">
        <v>24</v>
      </c>
      <c r="T16" s="57" t="s">
        <v>25</v>
      </c>
      <c r="U16" s="57" t="s">
        <v>26</v>
      </c>
      <c r="V16" s="57" t="s">
        <v>24</v>
      </c>
      <c r="W16" s="57" t="s">
        <v>25</v>
      </c>
      <c r="X16" s="57" t="s">
        <v>26</v>
      </c>
    </row>
    <row r="17" spans="1:24" x14ac:dyDescent="0.15">
      <c r="A17" s="57"/>
      <c r="B17" s="57"/>
      <c r="C17" s="57"/>
      <c r="D17" s="58" t="s">
        <v>18</v>
      </c>
      <c r="E17" s="58" t="s">
        <v>19</v>
      </c>
      <c r="F17" s="58" t="s">
        <v>20</v>
      </c>
      <c r="G17" s="58" t="s">
        <v>21</v>
      </c>
      <c r="H17" s="58" t="s">
        <v>22</v>
      </c>
      <c r="I17" s="58" t="s">
        <v>18</v>
      </c>
      <c r="J17" s="58" t="s">
        <v>19</v>
      </c>
      <c r="K17" s="58" t="s">
        <v>20</v>
      </c>
      <c r="L17" s="58" t="s">
        <v>21</v>
      </c>
      <c r="M17" s="58" t="s">
        <v>22</v>
      </c>
      <c r="N17" s="58" t="s">
        <v>18</v>
      </c>
      <c r="O17" s="58" t="s">
        <v>19</v>
      </c>
      <c r="P17" s="58" t="s">
        <v>20</v>
      </c>
      <c r="Q17" s="58" t="s">
        <v>21</v>
      </c>
      <c r="R17" s="58" t="s">
        <v>22</v>
      </c>
      <c r="S17" s="57"/>
      <c r="T17" s="57"/>
      <c r="U17" s="57"/>
      <c r="V17" s="57"/>
      <c r="W17" s="57"/>
      <c r="X17" s="57"/>
    </row>
    <row r="18" spans="1:24" x14ac:dyDescent="0.15">
      <c r="A18" s="59" t="s">
        <v>23</v>
      </c>
      <c r="B18" s="93"/>
      <c r="C18" s="56" t="str">
        <f>C4</f>
        <v>Chrome</v>
      </c>
      <c r="D18" s="69">
        <f>SUMIF(C31:C32,C18,D31:D32)</f>
        <v>0</v>
      </c>
      <c r="E18" s="69">
        <f>SUMIF(C31:C32,C18,E31:E32)</f>
        <v>0</v>
      </c>
      <c r="F18" s="69">
        <f>SUMIF(C31:C32,C18,F31:F32)</f>
        <v>0</v>
      </c>
      <c r="G18" s="69">
        <f>SUMIF(C31:C32,C18,G31:G32)</f>
        <v>0</v>
      </c>
      <c r="H18" s="70">
        <f>SUMIF(C31:C32,C18,H31:H32)</f>
        <v>1</v>
      </c>
      <c r="I18" s="71">
        <f>SUMIF(C31:C32,C18,I31:I32)</f>
        <v>0</v>
      </c>
      <c r="J18" s="71">
        <f>SUMIF(C31:C32,C18,J31:J32)</f>
        <v>0</v>
      </c>
      <c r="K18" s="71">
        <f>SUMIF(C31:C32,C18,K31:K32)</f>
        <v>0</v>
      </c>
      <c r="L18" s="71">
        <f>SUMIF(C31:C32,C18,L31:L32)</f>
        <v>0</v>
      </c>
      <c r="M18" s="72">
        <f>SUMIF(C31:C32,C18,M31:M32)</f>
        <v>1</v>
      </c>
      <c r="N18" s="73">
        <f>SUMIF(C31:C32,C18,N31:N32)</f>
        <v>0</v>
      </c>
      <c r="O18" s="73">
        <f>SUMIF(C31:C32,C18,O31:O32)</f>
        <v>0</v>
      </c>
      <c r="P18" s="73">
        <f>SUMIF(C31:C32,C18,P31:P32)</f>
        <v>0</v>
      </c>
      <c r="Q18" s="73">
        <f>SUMIF(C31:C32,C18,Q31:Q32)</f>
        <v>0</v>
      </c>
      <c r="R18" s="74">
        <f>SUMIF(C31:C32,C18,R31:R32)</f>
        <v>1</v>
      </c>
      <c r="S18" s="75">
        <f>ROUND((D18+E18)*100/(H18-G18),2)</f>
        <v>0</v>
      </c>
      <c r="T18" s="56">
        <f>ROUND((I18+J18)*100/(M18-L18),2)</f>
        <v>0</v>
      </c>
      <c r="U18" s="56">
        <f>ROUND((N18+O18)*100/(R18-Q18),2)</f>
        <v>0</v>
      </c>
      <c r="V18" s="75">
        <f>ROUND(D18*100/(H18-G18),2)</f>
        <v>0</v>
      </c>
      <c r="W18" s="56">
        <f>ROUND(I18*100/(M18-L18),2)</f>
        <v>0</v>
      </c>
      <c r="X18" s="56">
        <f>ROUND(N18*100/(R18-Q18),2)</f>
        <v>0</v>
      </c>
    </row>
    <row r="19" spans="1:24" x14ac:dyDescent="0.15">
      <c r="A19" s="59"/>
      <c r="B19" s="93"/>
      <c r="C19" s="56" t="str">
        <f>C5</f>
        <v>Edge</v>
      </c>
      <c r="D19" s="69">
        <f>SUMIF(C31:C32,C19,D31:D32)</f>
        <v>0</v>
      </c>
      <c r="E19" s="69">
        <f>SUMIF(C31:C32,C19,E31:E32)</f>
        <v>0</v>
      </c>
      <c r="F19" s="69">
        <f>SUMIF(C31:C32,C19,F31:F32)</f>
        <v>0</v>
      </c>
      <c r="G19" s="69">
        <f>SUMIF(C31:C32,C19,G31:G32)</f>
        <v>0</v>
      </c>
      <c r="H19" s="70">
        <f>SUMIF(C31:C32,C19,H31:H32)</f>
        <v>1</v>
      </c>
      <c r="I19" s="71">
        <f>SUMIF(C31:C32,C19,I31:I32)</f>
        <v>0</v>
      </c>
      <c r="J19" s="71">
        <f>SUMIF(C31:C32,C19,J31:J32)</f>
        <v>0</v>
      </c>
      <c r="K19" s="71">
        <f>SUMIF(C31:C32,C19,K31:K32)</f>
        <v>0</v>
      </c>
      <c r="L19" s="71">
        <f>SUMIF(C31:C32,C19,L31:L32)</f>
        <v>0</v>
      </c>
      <c r="M19" s="72">
        <f>SUMIF(C31:C32,C19,M31:M32)</f>
        <v>1</v>
      </c>
      <c r="N19" s="73">
        <f>SUMIF(C31:C32,C19,N31:N32)</f>
        <v>0</v>
      </c>
      <c r="O19" s="73">
        <f>SUMIF(C31:C32,C19,O31:O32)</f>
        <v>0</v>
      </c>
      <c r="P19" s="73">
        <f>SUMIF(C31:C32,C19,P31:P32)</f>
        <v>0</v>
      </c>
      <c r="Q19" s="73">
        <f>SUMIF(C31:C32,C19,Q31:Q32)</f>
        <v>0</v>
      </c>
      <c r="R19" s="74">
        <f>SUMIF(C31:C32,C19,R31:R32)</f>
        <v>1</v>
      </c>
      <c r="S19" s="75">
        <f>ROUND((D19+E19)*100/(H19-G19),2)</f>
        <v>0</v>
      </c>
      <c r="T19" s="56">
        <f>ROUND((I19+J19)*100/(M19-L19),2)</f>
        <v>0</v>
      </c>
      <c r="U19" s="56">
        <f>ROUND((N19+O19)*100/(R19-Q19),2)</f>
        <v>0</v>
      </c>
      <c r="V19" s="75">
        <f>ROUND(D19*100/(H19-G19),2)</f>
        <v>0</v>
      </c>
      <c r="W19" s="56">
        <f>ROUND(I19*100/(M19-L19),2)</f>
        <v>0</v>
      </c>
      <c r="X19" s="56">
        <f>ROUND(N19*100/(R19-Q19),2)</f>
        <v>0</v>
      </c>
    </row>
    <row r="20" spans="1:24" x14ac:dyDescent="0.15">
      <c r="A20" s="76" t="s">
        <v>64</v>
      </c>
      <c r="B20" s="76"/>
      <c r="C20" s="76"/>
      <c r="D20" s="77">
        <f>SUM(D18:D19)</f>
        <v>0</v>
      </c>
      <c r="E20" s="77">
        <f>SUM(E18:E19)</f>
        <v>0</v>
      </c>
      <c r="F20" s="77">
        <f>SUM(F18:F19)</f>
        <v>0</v>
      </c>
      <c r="G20" s="77">
        <f>SUM(G18:G19)</f>
        <v>0</v>
      </c>
      <c r="H20" s="77">
        <f>SUM(H18:H19)</f>
        <v>2</v>
      </c>
      <c r="I20" s="77">
        <f>SUM(I18:I19)</f>
        <v>0</v>
      </c>
      <c r="J20" s="77">
        <f>SUM(J18:J19)</f>
        <v>0</v>
      </c>
      <c r="K20" s="77">
        <f>SUM(K18:K19)</f>
        <v>0</v>
      </c>
      <c r="L20" s="77">
        <f>SUM(L18:L19)</f>
        <v>0</v>
      </c>
      <c r="M20" s="77">
        <f>SUM(M18:M19)</f>
        <v>2</v>
      </c>
      <c r="N20" s="77">
        <f>SUM(N18:N19)</f>
        <v>0</v>
      </c>
      <c r="O20" s="77">
        <f>SUM(O18:O19)</f>
        <v>0</v>
      </c>
      <c r="P20" s="77">
        <f>SUM(P18:P19)</f>
        <v>0</v>
      </c>
      <c r="Q20" s="77">
        <f>SUM(Q18:Q19)</f>
        <v>0</v>
      </c>
      <c r="R20" s="77">
        <f>SUM(R18:R19)</f>
        <v>2</v>
      </c>
      <c r="S20" s="77">
        <f>ROUND(AVERAGE(S18:S19),2)</f>
        <v>0</v>
      </c>
      <c r="T20" s="77">
        <f>ROUND(AVERAGE(T18:T19),2)</f>
        <v>0</v>
      </c>
      <c r="U20" s="77">
        <f>ROUND(AVERAGE(U18:U19),2)</f>
        <v>0</v>
      </c>
      <c r="V20" s="77">
        <f>ROUND(AVERAGE(V18:V19),2)</f>
        <v>0</v>
      </c>
      <c r="W20" s="77">
        <f>ROUND(AVERAGE(W18:W19),2)</f>
        <v>0</v>
      </c>
      <c r="X20" s="77">
        <f>ROUND(AVERAGE(X18:X19),2)</f>
        <v>0</v>
      </c>
    </row>
    <row r="22" spans="1:24" x14ac:dyDescent="0.15">
      <c r="A22" s="54" t="s">
        <v>74</v>
      </c>
      <c r="B22" s="94"/>
    </row>
    <row r="23" spans="1:24" x14ac:dyDescent="0.15">
      <c r="A23" s="95"/>
      <c r="B23" s="95"/>
      <c r="C23" s="91"/>
      <c r="D23" s="79" t="s">
        <v>24</v>
      </c>
      <c r="E23" s="79"/>
      <c r="F23" s="79"/>
      <c r="G23" s="79"/>
      <c r="H23" s="79"/>
      <c r="I23" s="79" t="s">
        <v>60</v>
      </c>
      <c r="J23" s="79"/>
      <c r="K23" s="79"/>
      <c r="L23" s="79"/>
      <c r="M23" s="79"/>
      <c r="N23" s="79" t="s">
        <v>61</v>
      </c>
      <c r="O23" s="79"/>
      <c r="P23" s="79"/>
      <c r="Q23" s="79"/>
      <c r="R23" s="79"/>
      <c r="S23" s="79" t="s">
        <v>67</v>
      </c>
      <c r="T23" s="79" t="s">
        <v>68</v>
      </c>
      <c r="U23" s="79" t="s">
        <v>27</v>
      </c>
      <c r="V23" s="79" t="s">
        <v>28</v>
      </c>
      <c r="W23" s="96"/>
      <c r="X23" s="97"/>
    </row>
    <row r="24" spans="1:24" x14ac:dyDescent="0.15">
      <c r="A24" s="80" t="s">
        <v>65</v>
      </c>
      <c r="B24" s="81" t="s">
        <v>66</v>
      </c>
      <c r="C24" s="81" t="s">
        <v>23</v>
      </c>
      <c r="D24" s="81" t="s">
        <v>18</v>
      </c>
      <c r="E24" s="81" t="s">
        <v>19</v>
      </c>
      <c r="F24" s="81" t="s">
        <v>20</v>
      </c>
      <c r="G24" s="81" t="s">
        <v>21</v>
      </c>
      <c r="H24" s="81" t="s">
        <v>22</v>
      </c>
      <c r="I24" s="81" t="s">
        <v>18</v>
      </c>
      <c r="J24" s="81" t="s">
        <v>19</v>
      </c>
      <c r="K24" s="81" t="s">
        <v>20</v>
      </c>
      <c r="L24" s="81" t="s">
        <v>21</v>
      </c>
      <c r="M24" s="81" t="s">
        <v>22</v>
      </c>
      <c r="N24" s="81" t="s">
        <v>18</v>
      </c>
      <c r="O24" s="81" t="s">
        <v>19</v>
      </c>
      <c r="P24" s="81" t="s">
        <v>20</v>
      </c>
      <c r="Q24" s="81" t="s">
        <v>21</v>
      </c>
      <c r="R24" s="81" t="s">
        <v>22</v>
      </c>
      <c r="S24" s="96"/>
      <c r="T24" s="96"/>
      <c r="U24" s="96"/>
      <c r="V24" s="96"/>
      <c r="W24" s="96"/>
      <c r="X24" s="97"/>
    </row>
    <row r="25" spans="1:24" x14ac:dyDescent="0.15">
      <c r="A25" s="120">
        <v>1</v>
      </c>
      <c r="B25" s="119" t="str">
        <f>'Module 1'!B1</f>
        <v>Module 1</v>
      </c>
      <c r="C25" s="78" t="str">
        <f>C4</f>
        <v>Chrome</v>
      </c>
      <c r="D25" s="82">
        <f>COUNTIFS('Module 1'!I8:I9999,"Pass",'Module 1'!G8:G9999,"High")</f>
        <v>0</v>
      </c>
      <c r="E25" s="82">
        <f>COUNTIFS('Module 1'!I8:I9999,"Fail",'Module 1'!G8:G9999,"High")</f>
        <v>0</v>
      </c>
      <c r="F25" s="82">
        <f>COUNTIFS('Module 1'!I8:I9999,"Untested",'Module 1'!G8:G9999,"High")</f>
        <v>0</v>
      </c>
      <c r="G25" s="82">
        <f>COUNTIFS('Module 1'!I8:I9999,"Rejected",'Module 1'!G8:G9999,"High")</f>
        <v>0</v>
      </c>
      <c r="H25" s="83">
        <f>'Module 1'!G3</f>
        <v>1</v>
      </c>
      <c r="I25" s="84">
        <f>COUNTIFS('Module 1'!I8:I9999,"Pass",'Module 1'!G8:G9999,"Normal")</f>
        <v>0</v>
      </c>
      <c r="J25" s="84">
        <f>COUNTIFS('Module 1'!I8:I9999,"Fail",'Module 1'!G8:G9999,"Normal")</f>
        <v>0</v>
      </c>
      <c r="K25" s="84">
        <f>COUNTIFS('Module 1'!I8:I9999,"Untested",'Module 1'!G8:G9999,"Normal")</f>
        <v>0</v>
      </c>
      <c r="L25" s="84">
        <f>COUNTIFS('Module 1'!I8:I9999,"Rejected",'Module 1'!G8:G9999,"Normal")</f>
        <v>0</v>
      </c>
      <c r="M25" s="85">
        <f>'Module 1'!H3</f>
        <v>1</v>
      </c>
      <c r="N25" s="86">
        <f>COUNTIFS('Module 1'!I8:I9999,"Pass",'Module 1'!G8:G9999,"Low")</f>
        <v>0</v>
      </c>
      <c r="O25" s="86">
        <f>COUNTIFS('Module 1'!I8:I9999,"Fail",'Module 1'!G8:G9999,"Low")</f>
        <v>0</v>
      </c>
      <c r="P25" s="86">
        <f>COUNTIFS('Module 1'!I8:I9999,"Untested",'Module 1'!G8:G9999,"Low")</f>
        <v>0</v>
      </c>
      <c r="Q25" s="86">
        <f>COUNTIFS('Module 1'!I8:I9999,"Rejected",'Module 1'!G8:G9999,"Low")</f>
        <v>0</v>
      </c>
      <c r="R25" s="87">
        <f>'Module 1'!I3</f>
        <v>1</v>
      </c>
      <c r="S25" s="88">
        <f>'Module 1'!J3</f>
        <v>3</v>
      </c>
      <c r="T25" s="78">
        <f>'Module 1'!D1</f>
        <v>0</v>
      </c>
      <c r="U25" s="78">
        <f>'Module 1'!J8</f>
        <v>0</v>
      </c>
      <c r="V25" s="116"/>
      <c r="W25" s="117"/>
      <c r="X25" s="118"/>
    </row>
    <row r="26" spans="1:24" x14ac:dyDescent="0.15">
      <c r="A26" s="89"/>
      <c r="B26" s="90"/>
      <c r="C26" s="78" t="str">
        <f>C5</f>
        <v>Edge</v>
      </c>
      <c r="D26" s="82">
        <f>COUNTIFS('Module 1'!L8:L9999,"Pass",'Module 1'!G8:G9999,"High")</f>
        <v>0</v>
      </c>
      <c r="E26" s="82">
        <f>COUNTIFS('Module 1'!L8:L9999,"Fail",'Module 1'!G8:G9999,"High")</f>
        <v>0</v>
      </c>
      <c r="F26" s="82">
        <f>COUNTIFS('Module 1'!L8:L9999,"Untested",'Module 1'!G8:G9999,"High")</f>
        <v>0</v>
      </c>
      <c r="G26" s="82">
        <f>COUNTIFS('Module 1'!L8:L9999,"Rejected",'Module 1'!G8:G9999,"High")</f>
        <v>0</v>
      </c>
      <c r="H26" s="83">
        <f>'Module 1'!G3</f>
        <v>1</v>
      </c>
      <c r="I26" s="84">
        <f>COUNTIFS('Module 1'!L8:L9999,"Pass",'Module 1'!G8:G9999,"Normal")</f>
        <v>0</v>
      </c>
      <c r="J26" s="84">
        <f>COUNTIFS('Module 1'!L8:L9999,"Fail",'Module 1'!G8:G9999,"Normal")</f>
        <v>0</v>
      </c>
      <c r="K26" s="84">
        <f>COUNTIFS('Module 1'!L8:L9999,"Untested",'Module 1'!G8:G9999,"Normal")</f>
        <v>0</v>
      </c>
      <c r="L26" s="84">
        <f>COUNTIFS('Module 1'!L8:L9999,"Rejected",'Module 1'!G8:G9999,"Normal")</f>
        <v>0</v>
      </c>
      <c r="M26" s="85">
        <f>'Module 1'!H3</f>
        <v>1</v>
      </c>
      <c r="N26" s="86">
        <f>COUNTIFS('Module 1'!L8:L9999,"Pass",'Module 1'!G8:G9999,"Low")</f>
        <v>0</v>
      </c>
      <c r="O26" s="86">
        <f>COUNTIFS('Module 1'!L8:L9999,"Fail",'Module 1'!G8:G9999,"Low")</f>
        <v>0</v>
      </c>
      <c r="P26" s="86">
        <f>COUNTIFS('Module 1'!L8:L9999,"Untested",'Module 1'!G8:G9999,"Low")</f>
        <v>0</v>
      </c>
      <c r="Q26" s="86">
        <f>COUNTIFS('Module 1'!L8:L9999,"Rejected",'Module 1'!G8:G9999,"Low")</f>
        <v>0</v>
      </c>
      <c r="R26" s="87">
        <f>'Module 1'!I3</f>
        <v>1</v>
      </c>
      <c r="S26" s="88">
        <f>'Module 1'!J3</f>
        <v>3</v>
      </c>
      <c r="T26" s="78">
        <f>'Module 1'!D1</f>
        <v>0</v>
      </c>
      <c r="U26" s="78">
        <f>'Module 1'!J8</f>
        <v>0</v>
      </c>
      <c r="V26" s="116"/>
      <c r="W26" s="117"/>
      <c r="X26" s="118"/>
    </row>
    <row r="28" spans="1:24" x14ac:dyDescent="0.15">
      <c r="A28" s="54" t="s">
        <v>69</v>
      </c>
      <c r="B28" s="94"/>
    </row>
    <row r="29" spans="1:24" x14ac:dyDescent="0.15">
      <c r="A29" s="95"/>
      <c r="B29" s="95"/>
      <c r="C29" s="91"/>
      <c r="D29" s="79" t="s">
        <v>24</v>
      </c>
      <c r="E29" s="79"/>
      <c r="F29" s="79"/>
      <c r="G29" s="79"/>
      <c r="H29" s="79"/>
      <c r="I29" s="79" t="s">
        <v>60</v>
      </c>
      <c r="J29" s="79"/>
      <c r="K29" s="79"/>
      <c r="L29" s="79"/>
      <c r="M29" s="79"/>
      <c r="N29" s="79" t="s">
        <v>61</v>
      </c>
      <c r="O29" s="79"/>
      <c r="P29" s="79"/>
      <c r="Q29" s="79"/>
      <c r="R29" s="79"/>
      <c r="S29" s="79" t="s">
        <v>67</v>
      </c>
      <c r="T29" s="79" t="s">
        <v>68</v>
      </c>
      <c r="U29" s="79" t="s">
        <v>27</v>
      </c>
      <c r="V29" s="79" t="s">
        <v>28</v>
      </c>
      <c r="W29" s="96"/>
      <c r="X29" s="97"/>
    </row>
    <row r="30" spans="1:24" x14ac:dyDescent="0.15">
      <c r="A30" s="80" t="s">
        <v>65</v>
      </c>
      <c r="B30" s="81" t="s">
        <v>66</v>
      </c>
      <c r="C30" s="81" t="s">
        <v>23</v>
      </c>
      <c r="D30" s="81" t="s">
        <v>18</v>
      </c>
      <c r="E30" s="81" t="s">
        <v>19</v>
      </c>
      <c r="F30" s="81" t="s">
        <v>20</v>
      </c>
      <c r="G30" s="81" t="s">
        <v>21</v>
      </c>
      <c r="H30" s="81" t="s">
        <v>22</v>
      </c>
      <c r="I30" s="81" t="s">
        <v>18</v>
      </c>
      <c r="J30" s="81" t="s">
        <v>19</v>
      </c>
      <c r="K30" s="81" t="s">
        <v>20</v>
      </c>
      <c r="L30" s="81" t="s">
        <v>21</v>
      </c>
      <c r="M30" s="81" t="s">
        <v>22</v>
      </c>
      <c r="N30" s="81" t="s">
        <v>18</v>
      </c>
      <c r="O30" s="81" t="s">
        <v>19</v>
      </c>
      <c r="P30" s="81" t="s">
        <v>20</v>
      </c>
      <c r="Q30" s="81" t="s">
        <v>21</v>
      </c>
      <c r="R30" s="81" t="s">
        <v>22</v>
      </c>
      <c r="S30" s="96"/>
      <c r="T30" s="96"/>
      <c r="U30" s="96"/>
      <c r="V30" s="96"/>
      <c r="W30" s="96"/>
      <c r="X30" s="97"/>
    </row>
    <row r="31" spans="1:24" x14ac:dyDescent="0.15">
      <c r="A31" s="120">
        <v>1</v>
      </c>
      <c r="B31" s="119" t="str">
        <f>'Module 1'!B1</f>
        <v>Module 1</v>
      </c>
      <c r="C31" s="78" t="str">
        <f>C4</f>
        <v>Chrome</v>
      </c>
      <c r="D31" s="82">
        <f>COUNTIFS('Module 1'!P8:P9999,"Pass",'Module 1'!G8:G9999,"High")</f>
        <v>0</v>
      </c>
      <c r="E31" s="82">
        <f>COUNTIFS('Module 1'!P8:P9999,"Fail",'Module 1'!G8:G9999,"High")</f>
        <v>0</v>
      </c>
      <c r="F31" s="82">
        <f>COUNTIFS('Module 1'!P8:P9999,"Untested",'Module 1'!G8:G9999,"High")</f>
        <v>0</v>
      </c>
      <c r="G31" s="82">
        <f>COUNTIFS('Module 1'!P8:P9999,"Rejected",'Module 1'!G8:G9999,"High")</f>
        <v>0</v>
      </c>
      <c r="H31" s="83">
        <f>'Module 1'!G3</f>
        <v>1</v>
      </c>
      <c r="I31" s="84">
        <f>COUNTIFS('Module 1'!P8:P9999,"Pass",'Module 1'!G8:G9999,"Normal")</f>
        <v>0</v>
      </c>
      <c r="J31" s="84">
        <f>COUNTIFS('Module 1'!P8:P9999,"Fail",'Module 1'!G8:G9999,"Normal")</f>
        <v>0</v>
      </c>
      <c r="K31" s="84">
        <f>COUNTIFS('Module 1'!P8:P9999,"Untested",'Module 1'!G8:G9999,"Normal")</f>
        <v>0</v>
      </c>
      <c r="L31" s="84">
        <f>COUNTIFS('Module 1'!P8:P9999,"Rejected",'Module 1'!G8:G9999,"Normal")</f>
        <v>0</v>
      </c>
      <c r="M31" s="85">
        <f>'Module 1'!H3</f>
        <v>1</v>
      </c>
      <c r="N31" s="86">
        <f>COUNTIFS('Module 1'!P8:P9999,"Pass",'Module 1'!G8:G9999,"Low")</f>
        <v>0</v>
      </c>
      <c r="O31" s="86">
        <f>COUNTIFS('Module 1'!P8:P9999,"Fail",'Module 1'!G8:G9999,"Low")</f>
        <v>0</v>
      </c>
      <c r="P31" s="86">
        <f>COUNTIFS('Module 1'!P8:P9999,"Untested",'Module 1'!G8:G9999,"Low")</f>
        <v>0</v>
      </c>
      <c r="Q31" s="86">
        <f>COUNTIFS('Module 1'!P8:P9999,"Rejected",'Module 1'!G8:G9999,"Low")</f>
        <v>0</v>
      </c>
      <c r="R31" s="87">
        <f>'Module 1'!I3</f>
        <v>1</v>
      </c>
      <c r="S31" s="88">
        <f>'Module 1'!J3</f>
        <v>3</v>
      </c>
      <c r="T31" s="78">
        <f>'Module 1'!D1</f>
        <v>0</v>
      </c>
      <c r="U31" s="78">
        <f>'Module 1'!J8</f>
        <v>0</v>
      </c>
      <c r="V31" s="116"/>
      <c r="W31" s="117"/>
      <c r="X31" s="118"/>
    </row>
    <row r="32" spans="1:24" x14ac:dyDescent="0.15">
      <c r="A32" s="89"/>
      <c r="B32" s="90"/>
      <c r="C32" s="78" t="str">
        <f>C5</f>
        <v>Edge</v>
      </c>
      <c r="D32" s="82">
        <f>COUNTIFS('Module 1'!S8:S9999,"Pass",'Module 1'!G8:G9999,"High")</f>
        <v>0</v>
      </c>
      <c r="E32" s="82">
        <f>COUNTIFS('Module 1'!S8:S9999,"Fail",'Module 1'!G8:G9999,"High")</f>
        <v>0</v>
      </c>
      <c r="F32" s="82">
        <f>COUNTIFS('Module 1'!S8:S9999,"Untested",'Module 1'!G8:G9999,"High")</f>
        <v>0</v>
      </c>
      <c r="G32" s="82">
        <f>COUNTIFS('Module 1'!S8:S9999,"Rejected",'Module 1'!G8:G9999,"High")</f>
        <v>0</v>
      </c>
      <c r="H32" s="83">
        <f>'Module 1'!G3</f>
        <v>1</v>
      </c>
      <c r="I32" s="84">
        <f>COUNTIFS('Module 1'!S8:S9999,"Pass",'Module 1'!G8:G9999,"Normal")</f>
        <v>0</v>
      </c>
      <c r="J32" s="84">
        <f>COUNTIFS('Module 1'!S8:S9999,"Fail",'Module 1'!G8:G9999,"Normal")</f>
        <v>0</v>
      </c>
      <c r="K32" s="84">
        <f>COUNTIFS('Module 1'!S8:S9999,"Untested",'Module 1'!G8:G9999,"Normal")</f>
        <v>0</v>
      </c>
      <c r="L32" s="84">
        <f>COUNTIFS('Module 1'!S8:S9999,"Rejected",'Module 1'!G8:G9999,"Normal")</f>
        <v>0</v>
      </c>
      <c r="M32" s="85">
        <f>'Module 1'!H3</f>
        <v>1</v>
      </c>
      <c r="N32" s="86">
        <f>COUNTIFS('Module 1'!S8:S9999,"Pass",'Module 1'!G8:G9999,"Low")</f>
        <v>0</v>
      </c>
      <c r="O32" s="86">
        <f>COUNTIFS('Module 1'!S8:S9999,"Fail",'Module 1'!G8:G9999,"Low")</f>
        <v>0</v>
      </c>
      <c r="P32" s="86">
        <f>COUNTIFS('Module 1'!S8:S9999,"Untested",'Module 1'!G8:G9999,"Low")</f>
        <v>0</v>
      </c>
      <c r="Q32" s="86">
        <f>COUNTIFS('Module 1'!S8:S9999,"Rejected",'Module 1'!G8:G9999,"Low")</f>
        <v>0</v>
      </c>
      <c r="R32" s="87">
        <f>'Module 1'!I3</f>
        <v>1</v>
      </c>
      <c r="S32" s="88">
        <f>'Module 1'!J3</f>
        <v>3</v>
      </c>
      <c r="T32" s="78">
        <f>'Module 1'!D1</f>
        <v>0</v>
      </c>
      <c r="U32" s="78">
        <f>'Module 1'!J8</f>
        <v>0</v>
      </c>
      <c r="V32" s="116"/>
      <c r="W32" s="117"/>
      <c r="X32" s="118"/>
    </row>
  </sheetData>
  <mergeCells count="59">
    <mergeCell ref="B25:B26"/>
    <mergeCell ref="A31:A32"/>
    <mergeCell ref="A25:A26"/>
    <mergeCell ref="B31:B32"/>
    <mergeCell ref="U29:U30"/>
    <mergeCell ref="V29:X30"/>
    <mergeCell ref="V25:X25"/>
    <mergeCell ref="V31:X31"/>
    <mergeCell ref="V26:X26"/>
    <mergeCell ref="V32:X32"/>
    <mergeCell ref="A28:B29"/>
    <mergeCell ref="D29:H29"/>
    <mergeCell ref="I29:M29"/>
    <mergeCell ref="N29:R29"/>
    <mergeCell ref="S29:S30"/>
    <mergeCell ref="T29:T30"/>
    <mergeCell ref="A22:B23"/>
    <mergeCell ref="S23:S24"/>
    <mergeCell ref="T23:T24"/>
    <mergeCell ref="U23:U24"/>
    <mergeCell ref="V23:X24"/>
    <mergeCell ref="D23:H23"/>
    <mergeCell ref="I23:M23"/>
    <mergeCell ref="N23:R23"/>
    <mergeCell ref="U16:U17"/>
    <mergeCell ref="V16:V17"/>
    <mergeCell ref="W16:W17"/>
    <mergeCell ref="X16:X17"/>
    <mergeCell ref="A18:B19"/>
    <mergeCell ref="A20:C20"/>
    <mergeCell ref="A13:C13"/>
    <mergeCell ref="A15:C17"/>
    <mergeCell ref="D15:R15"/>
    <mergeCell ref="S15:U15"/>
    <mergeCell ref="V15:X15"/>
    <mergeCell ref="D16:H16"/>
    <mergeCell ref="I16:M16"/>
    <mergeCell ref="N16:R16"/>
    <mergeCell ref="S16:S17"/>
    <mergeCell ref="T16:T17"/>
    <mergeCell ref="N9:R9"/>
    <mergeCell ref="S8:U8"/>
    <mergeCell ref="S9:S10"/>
    <mergeCell ref="T9:T10"/>
    <mergeCell ref="U9:U10"/>
    <mergeCell ref="V8:X8"/>
    <mergeCell ref="V9:V10"/>
    <mergeCell ref="W9:W10"/>
    <mergeCell ref="X9:X10"/>
    <mergeCell ref="A3:B3"/>
    <mergeCell ref="A4:B5"/>
    <mergeCell ref="D2:J2"/>
    <mergeCell ref="K2:Q2"/>
    <mergeCell ref="A7:B7"/>
    <mergeCell ref="A11:B12"/>
    <mergeCell ref="A8:C10"/>
    <mergeCell ref="D8:R8"/>
    <mergeCell ref="D9:H9"/>
    <mergeCell ref="I9:M9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06"/>
  <sheetViews>
    <sheetView zoomScale="90" zoomScaleNormal="90" zoomScalePageLayoutView="180" workbookViewId="0">
      <selection activeCell="C16" sqref="C16"/>
    </sheetView>
  </sheetViews>
  <sheetFormatPr defaultColWidth="8.875" defaultRowHeight="13.5" x14ac:dyDescent="0.15"/>
  <cols>
    <col min="1" max="1" width="20.75" customWidth="1"/>
    <col min="2" max="2" width="15.125" customWidth="1"/>
    <col min="3" max="3" width="22.125" customWidth="1"/>
    <col min="4" max="4" width="26.125" customWidth="1"/>
    <col min="5" max="5" width="14.625" customWidth="1"/>
    <col min="6" max="6" width="26.625" customWidth="1"/>
    <col min="7" max="7" width="11.375" customWidth="1"/>
    <col min="8" max="8" width="13.375" customWidth="1"/>
    <col min="9" max="9" width="10.875" customWidth="1"/>
    <col min="10" max="10" width="14.125" customWidth="1"/>
    <col min="11" max="11" width="12.75" customWidth="1"/>
    <col min="12" max="12" width="9.625" customWidth="1"/>
    <col min="13" max="13" width="13.75" customWidth="1"/>
    <col min="14" max="14" width="14.75" customWidth="1"/>
    <col min="15" max="15" width="13.375" customWidth="1"/>
    <col min="16" max="18" width="10.875" customWidth="1"/>
    <col min="19" max="19" width="11.125" customWidth="1"/>
    <col min="20" max="20" width="10.375" customWidth="1"/>
    <col min="21" max="21" width="11.625" customWidth="1"/>
    <col min="22" max="22" width="13.375" customWidth="1"/>
    <col min="23" max="23" width="19.375" customWidth="1"/>
  </cols>
  <sheetData>
    <row r="1" spans="1:100" ht="30.75" customHeight="1" x14ac:dyDescent="0.15">
      <c r="A1" s="3" t="s">
        <v>29</v>
      </c>
      <c r="B1" s="30" t="s">
        <v>30</v>
      </c>
      <c r="C1" s="4" t="s">
        <v>31</v>
      </c>
      <c r="D1" s="30"/>
      <c r="E1" s="1"/>
      <c r="F1" s="31" t="s">
        <v>23</v>
      </c>
      <c r="G1" s="51" t="s">
        <v>32</v>
      </c>
      <c r="H1" s="52"/>
      <c r="I1" s="52"/>
      <c r="J1" s="53"/>
      <c r="K1" s="46" t="s">
        <v>17</v>
      </c>
      <c r="L1" s="47"/>
      <c r="M1" s="47"/>
      <c r="N1" s="47"/>
      <c r="O1" s="47"/>
      <c r="P1" s="48"/>
      <c r="Q1" s="46" t="s">
        <v>33</v>
      </c>
      <c r="R1" s="47"/>
      <c r="S1" s="47"/>
      <c r="T1" s="47"/>
      <c r="U1" s="47"/>
      <c r="V1" s="48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 x14ac:dyDescent="0.15">
      <c r="A2" s="3" t="s">
        <v>34</v>
      </c>
      <c r="B2" s="39" t="str">
        <f>Cover!D3</f>
        <v>Nhập tên dự án</v>
      </c>
      <c r="C2" s="4" t="s">
        <v>35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36</v>
      </c>
      <c r="P2" s="31" t="s">
        <v>37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38</v>
      </c>
      <c r="V2" s="31" t="s">
        <v>37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 x14ac:dyDescent="0.15">
      <c r="A3" s="3" t="s">
        <v>5</v>
      </c>
      <c r="B3" s="39" t="str">
        <f>Cover!D4</f>
        <v xml:space="preserve">Nhâp tên phase </v>
      </c>
      <c r="C3" s="4" t="s">
        <v>39</v>
      </c>
      <c r="D3" s="32"/>
      <c r="E3" s="1"/>
      <c r="F3" s="105" t="str">
        <f>Report!C4</f>
        <v>Chrome</v>
      </c>
      <c r="G3" s="106">
        <f>COUNTIF(G8:G1000,"High")</f>
        <v>1</v>
      </c>
      <c r="H3" s="106">
        <f>COUNTIF(G8:G1000,"Normal")</f>
        <v>1</v>
      </c>
      <c r="I3" s="106">
        <f>COUNTIF(G8:G1000,"Low")</f>
        <v>1</v>
      </c>
      <c r="J3" s="106">
        <f>SUM(G3:I3)</f>
        <v>3</v>
      </c>
      <c r="K3" s="107">
        <f>COUNTIF(I8:I1008,"Pass")</f>
        <v>0</v>
      </c>
      <c r="L3" s="107">
        <f>COUNTIF(I8:I1008,"Fail")</f>
        <v>0</v>
      </c>
      <c r="M3" s="107">
        <f>J3-K3-L3-N3</f>
        <v>3</v>
      </c>
      <c r="N3" s="107">
        <f>COUNTIF(I8:I1008,"Rejected")</f>
        <v>0</v>
      </c>
      <c r="O3" s="108">
        <f>(K3+L3)/(J3-N3)</f>
        <v>0</v>
      </c>
      <c r="P3" s="108">
        <f>K3/(J3-N3)</f>
        <v>0</v>
      </c>
      <c r="Q3" s="107">
        <f>COUNTIF(P8:P1007,"Pass")</f>
        <v>0</v>
      </c>
      <c r="R3" s="107">
        <f>COUNTIF(P8:P1007,"Fail")</f>
        <v>0</v>
      </c>
      <c r="S3" s="107">
        <f>J3-Q3-R3-T3</f>
        <v>3</v>
      </c>
      <c r="T3" s="107">
        <f>COUNTIF(P8:P1007,"Rejected")</f>
        <v>0</v>
      </c>
      <c r="U3" s="108">
        <f>(Q3+R3)/(J3-T3)</f>
        <v>0</v>
      </c>
      <c r="V3" s="108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 x14ac:dyDescent="0.15">
      <c r="A4" s="3"/>
      <c r="B4" s="103"/>
      <c r="C4" s="4"/>
      <c r="D4" s="104"/>
      <c r="E4" s="1"/>
      <c r="F4" s="109" t="str">
        <f>Report!C5</f>
        <v>Edge</v>
      </c>
      <c r="G4" s="110"/>
      <c r="H4" s="110"/>
      <c r="I4" s="110"/>
      <c r="J4" s="110"/>
      <c r="K4" s="111">
        <f>COUNTIF(L8:L1008,"Pass")</f>
        <v>0</v>
      </c>
      <c r="L4" s="111">
        <f>COUNTIF(L8:L1008,"Fail")</f>
        <v>0</v>
      </c>
      <c r="M4" s="111">
        <f>J3-K4-L4-N4</f>
        <v>3</v>
      </c>
      <c r="N4" s="111">
        <f>COUNTIF(L8:L1008,"Rejected")</f>
        <v>0</v>
      </c>
      <c r="O4" s="112">
        <f>(K4+L4)/(J3-N4)</f>
        <v>0</v>
      </c>
      <c r="P4" s="112">
        <f>K4/(J3-N4)</f>
        <v>0</v>
      </c>
      <c r="Q4" s="111">
        <f>COUNTIF(S8:S1007,"Pass")</f>
        <v>0</v>
      </c>
      <c r="R4" s="111">
        <f>COUNTIF(S8:S1007,"Fail")</f>
        <v>0</v>
      </c>
      <c r="S4" s="111">
        <f>J3-Q4-R4-T4</f>
        <v>3</v>
      </c>
      <c r="T4" s="111">
        <f>COUNTIF(S8:S1007,"Rejected")</f>
        <v>0</v>
      </c>
      <c r="U4" s="112">
        <f>(Q4+R4)/(J3-T4)</f>
        <v>0</v>
      </c>
      <c r="V4" s="112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 x14ac:dyDescent="0.15">
      <c r="A5" s="1"/>
      <c r="B5" s="1"/>
      <c r="C5" s="2"/>
      <c r="D5" s="1"/>
      <c r="E5" s="1"/>
      <c r="F5" s="2"/>
      <c r="G5" s="2"/>
      <c r="H5" s="1"/>
      <c r="I5" s="20"/>
      <c r="J5" s="20"/>
      <c r="K5" s="20"/>
      <c r="L5" s="20"/>
      <c r="M5" s="20"/>
      <c r="N5" s="20"/>
      <c r="O5" s="1"/>
      <c r="P5" s="20"/>
      <c r="Q5" s="20"/>
      <c r="R5" s="20"/>
      <c r="S5" s="20"/>
      <c r="T5" s="20"/>
      <c r="U5" s="20"/>
      <c r="V5" s="1"/>
      <c r="W5" s="18"/>
    </row>
    <row r="6" spans="1:100" ht="15.75" customHeight="1" x14ac:dyDescent="0.15">
      <c r="A6" s="49" t="s">
        <v>40</v>
      </c>
      <c r="B6" s="49" t="s">
        <v>41</v>
      </c>
      <c r="C6" s="49" t="s">
        <v>54</v>
      </c>
      <c r="D6" s="49" t="s">
        <v>42</v>
      </c>
      <c r="E6" s="49" t="s">
        <v>43</v>
      </c>
      <c r="F6" s="49" t="s">
        <v>44</v>
      </c>
      <c r="G6" s="51" t="s">
        <v>45</v>
      </c>
      <c r="H6" s="98" t="s">
        <v>46</v>
      </c>
      <c r="I6" s="99"/>
      <c r="J6" s="99"/>
      <c r="K6" s="99"/>
      <c r="L6" s="99"/>
      <c r="M6" s="99"/>
      <c r="N6" s="99"/>
      <c r="O6" s="99" t="s">
        <v>47</v>
      </c>
      <c r="P6" s="99"/>
      <c r="Q6" s="99"/>
      <c r="R6" s="99"/>
      <c r="S6" s="99"/>
      <c r="T6" s="99"/>
      <c r="U6" s="99"/>
      <c r="V6" s="99" t="s">
        <v>28</v>
      </c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</row>
    <row r="7" spans="1:100" ht="15.75" x14ac:dyDescent="0.15">
      <c r="A7" s="50"/>
      <c r="B7" s="50"/>
      <c r="C7" s="50"/>
      <c r="D7" s="50"/>
      <c r="E7" s="50"/>
      <c r="F7" s="50"/>
      <c r="G7" s="51"/>
      <c r="H7" s="40" t="s">
        <v>48</v>
      </c>
      <c r="I7" s="40" t="str">
        <f>Report!C4</f>
        <v>Chrome</v>
      </c>
      <c r="J7" s="40" t="s">
        <v>27</v>
      </c>
      <c r="K7" s="40" t="s">
        <v>49</v>
      </c>
      <c r="L7" s="40" t="str">
        <f>Report!C5</f>
        <v>Edge</v>
      </c>
      <c r="M7" s="40" t="s">
        <v>27</v>
      </c>
      <c r="N7" s="40" t="s">
        <v>49</v>
      </c>
      <c r="O7" s="40" t="s">
        <v>48</v>
      </c>
      <c r="P7" s="100" t="str">
        <f>Report!C4</f>
        <v>Chrome</v>
      </c>
      <c r="Q7" s="100" t="s">
        <v>27</v>
      </c>
      <c r="R7" s="100" t="s">
        <v>49</v>
      </c>
      <c r="S7" s="100" t="str">
        <f>Report!C5</f>
        <v>Edge</v>
      </c>
      <c r="T7" s="100" t="s">
        <v>27</v>
      </c>
      <c r="U7" s="100" t="s">
        <v>49</v>
      </c>
      <c r="V7" s="99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</row>
    <row r="8" spans="1:100" ht="189" x14ac:dyDescent="0.15">
      <c r="A8" s="33" t="str">
        <f>IF(G8&lt;&gt;"",""&amp;TEXT($B$1,"##")&amp;"-"&amp; (ROW()-5)-COUNTBLANK(G$6:G8),"")</f>
        <v>Module 1-2</v>
      </c>
      <c r="B8" s="33" t="s">
        <v>50</v>
      </c>
      <c r="C8" s="33" t="s">
        <v>51</v>
      </c>
      <c r="D8" s="33" t="s">
        <v>52</v>
      </c>
      <c r="E8" s="34"/>
      <c r="F8" s="34" t="s">
        <v>53</v>
      </c>
      <c r="G8" s="35" t="s">
        <v>24</v>
      </c>
      <c r="H8" s="113"/>
      <c r="I8" s="113"/>
      <c r="J8" s="113"/>
      <c r="K8" s="114"/>
      <c r="L8" s="113"/>
      <c r="M8" s="113"/>
      <c r="N8" s="113"/>
      <c r="O8" s="113"/>
      <c r="P8" s="113"/>
      <c r="Q8" s="115"/>
      <c r="R8" s="115"/>
      <c r="S8" s="115"/>
      <c r="T8" s="115"/>
      <c r="U8" s="115"/>
      <c r="V8" s="115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</row>
    <row r="9" spans="1:100" ht="15.75" x14ac:dyDescent="0.15">
      <c r="A9" s="33" t="str">
        <f>IF(G9&lt;&gt;"",""&amp;TEXT($B$1,"##")&amp;"-"&amp; (ROW()-5)-COUNTBLANK(G$6:G9),"")</f>
        <v>Module 1-3</v>
      </c>
      <c r="B9" s="33"/>
      <c r="C9" s="33"/>
      <c r="D9" s="33"/>
      <c r="E9" s="34"/>
      <c r="F9" s="34"/>
      <c r="G9" s="35" t="s">
        <v>25</v>
      </c>
      <c r="H9" s="113"/>
      <c r="I9" s="113"/>
      <c r="J9" s="113"/>
      <c r="K9" s="114"/>
      <c r="L9" s="113"/>
      <c r="M9" s="113"/>
      <c r="N9" s="113"/>
      <c r="O9" s="113"/>
      <c r="P9" s="113"/>
      <c r="Q9" s="115"/>
      <c r="R9" s="115"/>
      <c r="S9" s="115"/>
      <c r="T9" s="115"/>
      <c r="U9" s="115"/>
      <c r="V9" s="115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2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2"/>
      <c r="CT9" s="102"/>
      <c r="CU9" s="102"/>
      <c r="CV9" s="102"/>
    </row>
    <row r="10" spans="1:100" ht="15.75" x14ac:dyDescent="0.15">
      <c r="A10" s="33" t="str">
        <f>IF(G10&lt;&gt;"",""&amp;TEXT($B$1,"##")&amp;"-"&amp; (ROW()-5)-COUNTBLANK(G$6:G10),"")</f>
        <v>Module 1-4</v>
      </c>
      <c r="B10" s="33"/>
      <c r="C10" s="33"/>
      <c r="D10" s="33"/>
      <c r="E10" s="34"/>
      <c r="F10" s="34"/>
      <c r="G10" s="35" t="s">
        <v>26</v>
      </c>
      <c r="H10" s="113"/>
      <c r="I10" s="113"/>
      <c r="J10" s="113"/>
      <c r="K10" s="114"/>
      <c r="L10" s="113"/>
      <c r="M10" s="113"/>
      <c r="N10" s="113"/>
      <c r="O10" s="113"/>
      <c r="P10" s="113"/>
      <c r="Q10" s="115"/>
      <c r="R10" s="115"/>
      <c r="S10" s="115"/>
      <c r="T10" s="115"/>
      <c r="U10" s="115"/>
      <c r="V10" s="115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02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</row>
    <row r="11" spans="1:100" ht="15.75" x14ac:dyDescent="0.15">
      <c r="A11" s="33" t="str">
        <f>IF(G11&lt;&gt;"",""&amp;TEXT($B$1,"##")&amp;"-"&amp; (ROW()-5)-COUNTBLANK(G$6:G11),"")</f>
        <v/>
      </c>
      <c r="B11" s="33"/>
      <c r="C11" s="33"/>
      <c r="E11" s="34"/>
      <c r="F11" s="34"/>
      <c r="G11" s="35"/>
      <c r="H11" s="113"/>
      <c r="I11" s="113"/>
      <c r="J11" s="113"/>
      <c r="K11" s="114"/>
      <c r="L11" s="113"/>
      <c r="M11" s="113"/>
      <c r="N11" s="113"/>
      <c r="O11" s="113"/>
      <c r="P11" s="113"/>
      <c r="Q11" s="115"/>
      <c r="R11" s="115"/>
      <c r="S11" s="115"/>
      <c r="T11" s="115"/>
      <c r="U11" s="115"/>
      <c r="V11" s="115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2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2"/>
      <c r="CT11" s="102"/>
      <c r="CU11" s="102"/>
      <c r="CV11" s="102"/>
    </row>
    <row r="12" spans="1:100" ht="15.75" x14ac:dyDescent="0.15">
      <c r="A12" s="33" t="str">
        <f>IF(G12&lt;&gt;"",""&amp;TEXT($B$1,"##")&amp;"-"&amp; (ROW()-5)-COUNTBLANK(G$6:G12),"")</f>
        <v/>
      </c>
      <c r="B12" s="33"/>
      <c r="C12" s="33"/>
      <c r="D12" s="33"/>
      <c r="E12" s="34"/>
      <c r="F12" s="34"/>
      <c r="G12" s="35"/>
      <c r="H12" s="113"/>
      <c r="I12" s="113"/>
      <c r="J12" s="113"/>
      <c r="K12" s="114"/>
      <c r="L12" s="113"/>
      <c r="M12" s="113"/>
      <c r="N12" s="113"/>
      <c r="O12" s="113"/>
      <c r="P12" s="113"/>
      <c r="Q12" s="115"/>
      <c r="R12" s="115"/>
      <c r="S12" s="115"/>
      <c r="T12" s="115"/>
      <c r="U12" s="115"/>
      <c r="V12" s="115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02"/>
      <c r="CU12" s="102"/>
      <c r="CV12" s="102"/>
    </row>
    <row r="13" spans="1:100" ht="15.75" x14ac:dyDescent="0.15">
      <c r="A13" s="33" t="str">
        <f>IF(G13&lt;&gt;"",""&amp;TEXT($B$1,"##")&amp;"-"&amp; (ROW()-5)-COUNTBLANK(G$6:G13),"")</f>
        <v/>
      </c>
      <c r="B13" s="33"/>
      <c r="C13" s="33"/>
      <c r="D13" s="33"/>
      <c r="E13" s="34"/>
      <c r="F13" s="34"/>
      <c r="G13" s="35"/>
      <c r="H13" s="113"/>
      <c r="I13" s="113"/>
      <c r="J13" s="113"/>
      <c r="K13" s="114"/>
      <c r="L13" s="113"/>
      <c r="M13" s="113"/>
      <c r="N13" s="113"/>
      <c r="O13" s="113"/>
      <c r="P13" s="113"/>
      <c r="Q13" s="115"/>
      <c r="R13" s="115"/>
      <c r="S13" s="115"/>
      <c r="T13" s="115"/>
      <c r="U13" s="115"/>
      <c r="V13" s="115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</row>
    <row r="14" spans="1:100" ht="15.75" x14ac:dyDescent="0.15">
      <c r="A14" s="33" t="str">
        <f>IF(G14&lt;&gt;"",""&amp;TEXT($B$1,"##")&amp;"-"&amp; (ROW()-5)-COUNTBLANK(G$6:G14),"")</f>
        <v/>
      </c>
      <c r="B14" s="33"/>
      <c r="C14" s="33"/>
      <c r="D14" s="33"/>
      <c r="E14" s="34"/>
      <c r="F14" s="34"/>
      <c r="G14" s="35"/>
      <c r="H14" s="113"/>
      <c r="I14" s="113"/>
      <c r="J14" s="113"/>
      <c r="K14" s="114"/>
      <c r="L14" s="113"/>
      <c r="M14" s="113"/>
      <c r="N14" s="113"/>
      <c r="O14" s="113"/>
      <c r="P14" s="113"/>
      <c r="Q14" s="115"/>
      <c r="R14" s="115"/>
      <c r="S14" s="115"/>
      <c r="T14" s="115"/>
      <c r="U14" s="115"/>
      <c r="V14" s="115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</row>
    <row r="15" spans="1:100" ht="15.75" x14ac:dyDescent="0.15">
      <c r="A15" s="33"/>
      <c r="B15" s="33"/>
      <c r="C15" s="33"/>
      <c r="D15" s="33"/>
      <c r="E15" s="34"/>
      <c r="F15" s="34"/>
      <c r="G15" s="35"/>
      <c r="H15" s="113"/>
      <c r="I15" s="113"/>
      <c r="J15" s="113"/>
      <c r="K15" s="114"/>
      <c r="L15" s="113"/>
      <c r="M15" s="113"/>
      <c r="N15" s="113"/>
      <c r="O15" s="113"/>
      <c r="P15" s="113"/>
      <c r="Q15" s="115"/>
      <c r="R15" s="115"/>
      <c r="S15" s="115"/>
      <c r="T15" s="115"/>
      <c r="U15" s="115"/>
      <c r="V15" s="115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 s="102"/>
      <c r="BY15" s="102"/>
      <c r="BZ15" s="102"/>
      <c r="CA15" s="102"/>
      <c r="CB15" s="102"/>
      <c r="CC15" s="102"/>
      <c r="CD15" s="102"/>
      <c r="CE15" s="102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2"/>
      <c r="CQ15" s="102"/>
      <c r="CR15" s="102"/>
      <c r="CS15" s="102"/>
      <c r="CT15" s="102"/>
      <c r="CU15" s="102"/>
      <c r="CV15" s="102"/>
    </row>
    <row r="16" spans="1:100" ht="15.75" x14ac:dyDescent="0.15">
      <c r="A16" s="33"/>
      <c r="B16" s="33"/>
      <c r="C16" s="33"/>
      <c r="D16" s="33"/>
      <c r="E16" s="34"/>
      <c r="F16" s="34"/>
      <c r="G16" s="35"/>
      <c r="H16" s="113"/>
      <c r="I16" s="113"/>
      <c r="J16" s="113"/>
      <c r="K16" s="114"/>
      <c r="L16" s="113"/>
      <c r="M16" s="113"/>
      <c r="N16" s="113"/>
      <c r="O16" s="113"/>
      <c r="P16" s="113"/>
      <c r="Q16" s="115"/>
      <c r="R16" s="115"/>
      <c r="S16" s="115"/>
      <c r="T16" s="115"/>
      <c r="U16" s="115"/>
      <c r="V16" s="115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</row>
    <row r="17" spans="1:100" ht="15.75" x14ac:dyDescent="0.15">
      <c r="A17" s="33"/>
      <c r="B17" s="33"/>
      <c r="C17" s="33"/>
      <c r="D17" s="33"/>
      <c r="E17" s="34"/>
      <c r="F17" s="34"/>
      <c r="G17" s="35"/>
      <c r="H17" s="113"/>
      <c r="I17" s="113"/>
      <c r="J17" s="113"/>
      <c r="K17" s="114"/>
      <c r="L17" s="113"/>
      <c r="M17" s="113"/>
      <c r="N17" s="113"/>
      <c r="O17" s="113"/>
      <c r="P17" s="113"/>
      <c r="Q17" s="115"/>
      <c r="R17" s="115"/>
      <c r="S17" s="115"/>
      <c r="T17" s="115"/>
      <c r="U17" s="115"/>
      <c r="V17" s="115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BY17" s="102"/>
      <c r="BZ17" s="102"/>
      <c r="CA17" s="102"/>
      <c r="CB17" s="102"/>
      <c r="CC17" s="102"/>
      <c r="CD17" s="102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</row>
    <row r="18" spans="1:100" ht="15.75" x14ac:dyDescent="0.15">
      <c r="A18" s="33"/>
      <c r="B18" s="36"/>
      <c r="C18" s="36"/>
      <c r="D18" s="37"/>
      <c r="E18" s="37"/>
      <c r="F18" s="36"/>
      <c r="G18" s="35"/>
      <c r="H18" s="113"/>
      <c r="I18" s="113"/>
      <c r="J18" s="113"/>
      <c r="K18" s="114"/>
      <c r="L18" s="113"/>
      <c r="M18" s="113"/>
      <c r="N18" s="113"/>
      <c r="O18" s="113"/>
      <c r="P18" s="113"/>
      <c r="Q18" s="115"/>
      <c r="R18" s="115"/>
      <c r="S18" s="115"/>
      <c r="T18" s="115"/>
      <c r="U18" s="115"/>
      <c r="V18" s="115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</row>
    <row r="19" spans="1:100" ht="15.75" x14ac:dyDescent="0.15">
      <c r="A19" s="33"/>
      <c r="B19" s="36"/>
      <c r="C19" s="36"/>
      <c r="D19" s="36"/>
      <c r="E19" s="36"/>
      <c r="F19" s="36"/>
      <c r="G19" s="35"/>
      <c r="H19" s="113"/>
      <c r="I19" s="113"/>
      <c r="J19" s="113"/>
      <c r="K19" s="114"/>
      <c r="L19" s="113"/>
      <c r="M19" s="113"/>
      <c r="N19" s="113"/>
      <c r="O19" s="113"/>
      <c r="P19" s="113"/>
      <c r="Q19" s="115"/>
      <c r="R19" s="115"/>
      <c r="S19" s="115"/>
      <c r="T19" s="115"/>
      <c r="U19" s="115"/>
      <c r="V19" s="115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</row>
    <row r="20" spans="1:100" ht="15.75" x14ac:dyDescent="0.15">
      <c r="A20" s="33"/>
      <c r="B20" s="36"/>
      <c r="C20" s="36"/>
      <c r="D20" s="36"/>
      <c r="E20" s="36"/>
      <c r="F20" s="36"/>
      <c r="G20" s="35"/>
      <c r="H20" s="113"/>
      <c r="I20" s="113"/>
      <c r="J20" s="113"/>
      <c r="K20" s="114"/>
      <c r="L20" s="113"/>
      <c r="M20" s="113"/>
      <c r="N20" s="113"/>
      <c r="O20" s="113"/>
      <c r="P20" s="113"/>
      <c r="Q20" s="115"/>
      <c r="R20" s="115"/>
      <c r="S20" s="115"/>
      <c r="T20" s="115"/>
      <c r="U20" s="115"/>
      <c r="V20" s="115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</row>
    <row r="21" spans="1:100" ht="15.75" x14ac:dyDescent="0.15">
      <c r="A21" s="33"/>
      <c r="B21" s="36"/>
      <c r="C21" s="36"/>
      <c r="D21" s="36"/>
      <c r="E21" s="36"/>
      <c r="F21" s="36"/>
      <c r="G21" s="35"/>
      <c r="H21" s="113"/>
      <c r="I21" s="113"/>
      <c r="J21" s="113"/>
      <c r="K21" s="114"/>
      <c r="L21" s="113"/>
      <c r="M21" s="113"/>
      <c r="N21" s="113"/>
      <c r="O21" s="113"/>
      <c r="P21" s="113"/>
      <c r="Q21" s="115"/>
      <c r="R21" s="115"/>
      <c r="S21" s="115"/>
      <c r="T21" s="115"/>
      <c r="U21" s="115"/>
      <c r="V21" s="115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</row>
    <row r="22" spans="1:100" ht="15.75" x14ac:dyDescent="0.15">
      <c r="A22" s="33"/>
      <c r="B22" s="36"/>
      <c r="C22" s="36"/>
      <c r="D22" s="36"/>
      <c r="E22" s="36"/>
      <c r="F22" s="36"/>
      <c r="G22" s="35"/>
      <c r="H22" s="113"/>
      <c r="I22" s="113"/>
      <c r="J22" s="113"/>
      <c r="K22" s="114"/>
      <c r="L22" s="113"/>
      <c r="M22" s="113"/>
      <c r="N22" s="113"/>
      <c r="O22" s="113"/>
      <c r="P22" s="113"/>
      <c r="Q22" s="115"/>
      <c r="R22" s="115"/>
      <c r="S22" s="115"/>
      <c r="T22" s="115"/>
      <c r="U22" s="115"/>
      <c r="V22" s="115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2"/>
      <c r="BM22" s="102"/>
      <c r="BN22" s="102"/>
      <c r="BO22" s="102"/>
      <c r="BP22" s="102"/>
      <c r="BQ22" s="102"/>
      <c r="BR22" s="102"/>
      <c r="BS22" s="102"/>
      <c r="BT22" s="102"/>
      <c r="BU22" s="102"/>
      <c r="BV22" s="102"/>
      <c r="BW22" s="102"/>
      <c r="BX22" s="102"/>
      <c r="BY22" s="102"/>
      <c r="BZ22" s="102"/>
      <c r="CA22" s="102"/>
      <c r="CB22" s="102"/>
      <c r="CC22" s="102"/>
      <c r="CD22" s="102"/>
      <c r="CE22" s="102"/>
      <c r="CF22" s="102"/>
      <c r="CG22" s="102"/>
      <c r="CH22" s="102"/>
      <c r="CI22" s="102"/>
      <c r="CJ22" s="102"/>
      <c r="CK22" s="102"/>
      <c r="CL22" s="102"/>
      <c r="CM22" s="102"/>
      <c r="CN22" s="102"/>
      <c r="CO22" s="102"/>
      <c r="CP22" s="102"/>
      <c r="CQ22" s="102"/>
      <c r="CR22" s="102"/>
      <c r="CS22" s="102"/>
      <c r="CT22" s="102"/>
      <c r="CU22" s="102"/>
      <c r="CV22" s="102"/>
    </row>
    <row r="23" spans="1:100" ht="15.75" x14ac:dyDescent="0.15">
      <c r="A23" s="33"/>
      <c r="B23" s="36"/>
      <c r="C23" s="36"/>
      <c r="D23" s="36"/>
      <c r="E23" s="36"/>
      <c r="F23" s="36"/>
      <c r="G23" s="35"/>
      <c r="H23" s="113"/>
      <c r="I23" s="113"/>
      <c r="J23" s="113"/>
      <c r="K23" s="114"/>
      <c r="L23" s="113"/>
      <c r="M23" s="113"/>
      <c r="N23" s="113"/>
      <c r="O23" s="113"/>
      <c r="P23" s="113"/>
      <c r="Q23" s="115"/>
      <c r="R23" s="115"/>
      <c r="S23" s="115"/>
      <c r="T23" s="115"/>
      <c r="U23" s="115"/>
      <c r="V23" s="115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2"/>
      <c r="CS23" s="102"/>
      <c r="CT23" s="102"/>
      <c r="CU23" s="102"/>
      <c r="CV23" s="102"/>
    </row>
    <row r="24" spans="1:100" ht="15.75" x14ac:dyDescent="0.15">
      <c r="A24" s="33"/>
      <c r="B24" s="36"/>
      <c r="C24" s="36"/>
      <c r="D24" s="36"/>
      <c r="E24" s="36"/>
      <c r="F24" s="36"/>
      <c r="G24" s="35"/>
      <c r="H24" s="113"/>
      <c r="I24" s="113"/>
      <c r="J24" s="113"/>
      <c r="K24" s="114"/>
      <c r="L24" s="113"/>
      <c r="M24" s="113"/>
      <c r="N24" s="113"/>
      <c r="O24" s="113"/>
      <c r="P24" s="113"/>
      <c r="Q24" s="115"/>
      <c r="R24" s="115"/>
      <c r="S24" s="115"/>
      <c r="T24" s="115"/>
      <c r="U24" s="115"/>
      <c r="V24" s="115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</row>
    <row r="25" spans="1:100" ht="15.75" x14ac:dyDescent="0.15">
      <c r="A25" s="33"/>
      <c r="B25" s="36"/>
      <c r="C25" s="36"/>
      <c r="D25" s="36"/>
      <c r="E25" s="36"/>
      <c r="F25" s="36"/>
      <c r="G25" s="35"/>
      <c r="H25" s="113"/>
      <c r="I25" s="113"/>
      <c r="J25" s="113"/>
      <c r="K25" s="114"/>
      <c r="L25" s="113"/>
      <c r="M25" s="113"/>
      <c r="N25" s="113"/>
      <c r="O25" s="113"/>
      <c r="P25" s="113"/>
      <c r="Q25" s="115"/>
      <c r="R25" s="115"/>
      <c r="S25" s="115"/>
      <c r="T25" s="115"/>
      <c r="U25" s="115"/>
      <c r="V25" s="115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2"/>
    </row>
    <row r="26" spans="1:100" ht="15.75" x14ac:dyDescent="0.15">
      <c r="A26" s="33"/>
      <c r="B26" s="36"/>
      <c r="C26" s="36"/>
      <c r="D26" s="36"/>
      <c r="E26" s="36"/>
      <c r="F26" s="36"/>
      <c r="G26" s="35"/>
      <c r="H26" s="113"/>
      <c r="I26" s="113"/>
      <c r="J26" s="113"/>
      <c r="K26" s="114"/>
      <c r="L26" s="113"/>
      <c r="M26" s="113"/>
      <c r="N26" s="113"/>
      <c r="O26" s="113"/>
      <c r="P26" s="113"/>
      <c r="Q26" s="115"/>
      <c r="R26" s="115"/>
      <c r="S26" s="115"/>
      <c r="T26" s="115"/>
      <c r="U26" s="115"/>
      <c r="V26" s="115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</row>
    <row r="27" spans="1:100" ht="15.75" x14ac:dyDescent="0.15">
      <c r="A27" s="33"/>
      <c r="B27" s="36"/>
      <c r="C27" s="36"/>
      <c r="D27" s="36"/>
      <c r="E27" s="36"/>
      <c r="F27" s="36"/>
      <c r="G27" s="35"/>
      <c r="H27" s="113"/>
      <c r="I27" s="113"/>
      <c r="J27" s="113"/>
      <c r="K27" s="114"/>
      <c r="L27" s="113"/>
      <c r="M27" s="113"/>
      <c r="N27" s="113"/>
      <c r="O27" s="113"/>
      <c r="P27" s="113"/>
      <c r="Q27" s="115"/>
      <c r="R27" s="115"/>
      <c r="S27" s="115"/>
      <c r="T27" s="115"/>
      <c r="U27" s="115"/>
      <c r="V27" s="115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</row>
    <row r="28" spans="1:100" ht="15.75" x14ac:dyDescent="0.15">
      <c r="A28" s="33"/>
      <c r="B28" s="36"/>
      <c r="C28" s="36"/>
      <c r="D28" s="36"/>
      <c r="E28" s="36"/>
      <c r="F28" s="36"/>
      <c r="G28" s="35"/>
      <c r="H28" s="113"/>
      <c r="I28" s="113"/>
      <c r="J28" s="113"/>
      <c r="K28" s="114"/>
      <c r="L28" s="113"/>
      <c r="M28" s="113"/>
      <c r="N28" s="113"/>
      <c r="O28" s="113"/>
      <c r="P28" s="113"/>
      <c r="Q28" s="115"/>
      <c r="R28" s="115"/>
      <c r="S28" s="115"/>
      <c r="T28" s="115"/>
      <c r="U28" s="115"/>
      <c r="V28" s="115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</row>
    <row r="29" spans="1:100" ht="15.75" x14ac:dyDescent="0.15">
      <c r="A29" s="33"/>
      <c r="B29" s="36"/>
      <c r="C29" s="36"/>
      <c r="D29" s="36"/>
      <c r="E29" s="36"/>
      <c r="F29" s="36"/>
      <c r="G29" s="35"/>
      <c r="H29" s="113"/>
      <c r="I29" s="113"/>
      <c r="J29" s="113"/>
      <c r="K29" s="114"/>
      <c r="L29" s="113"/>
      <c r="M29" s="113"/>
      <c r="N29" s="113"/>
      <c r="O29" s="113"/>
      <c r="P29" s="113"/>
      <c r="Q29" s="115"/>
      <c r="R29" s="115"/>
      <c r="S29" s="115"/>
      <c r="T29" s="115"/>
      <c r="U29" s="115"/>
      <c r="V29" s="115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</row>
    <row r="30" spans="1:100" ht="15.75" x14ac:dyDescent="0.15">
      <c r="A30" s="33"/>
      <c r="B30" s="36"/>
      <c r="C30" s="36"/>
      <c r="D30" s="36"/>
      <c r="E30" s="36"/>
      <c r="F30" s="36"/>
      <c r="G30" s="35"/>
      <c r="H30" s="113"/>
      <c r="I30" s="113"/>
      <c r="J30" s="113"/>
      <c r="K30" s="114"/>
      <c r="L30" s="113"/>
      <c r="M30" s="113"/>
      <c r="N30" s="113"/>
      <c r="O30" s="113"/>
      <c r="P30" s="113"/>
      <c r="Q30" s="115"/>
      <c r="R30" s="115"/>
      <c r="S30" s="115"/>
      <c r="T30" s="115"/>
      <c r="U30" s="115"/>
      <c r="V30" s="115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 s="102"/>
      <c r="BY30" s="102"/>
      <c r="BZ30" s="102"/>
      <c r="CA30" s="102"/>
      <c r="CB30" s="102"/>
      <c r="CC30" s="102"/>
      <c r="CD30" s="102"/>
      <c r="CE30" s="102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2"/>
      <c r="CQ30" s="102"/>
      <c r="CR30" s="102"/>
      <c r="CS30" s="102"/>
      <c r="CT30" s="102"/>
      <c r="CU30" s="102"/>
      <c r="CV30" s="102"/>
    </row>
    <row r="31" spans="1:100" ht="15.75" x14ac:dyDescent="0.15">
      <c r="A31" s="33"/>
      <c r="B31" s="36"/>
      <c r="C31" s="36"/>
      <c r="D31" s="36"/>
      <c r="E31" s="36"/>
      <c r="F31" s="36"/>
      <c r="G31" s="35"/>
      <c r="H31" s="113"/>
      <c r="I31" s="113"/>
      <c r="J31" s="113"/>
      <c r="K31" s="114"/>
      <c r="L31" s="113"/>
      <c r="M31" s="113"/>
      <c r="N31" s="113"/>
      <c r="O31" s="113"/>
      <c r="P31" s="113"/>
      <c r="Q31" s="115"/>
      <c r="R31" s="115"/>
      <c r="S31" s="115"/>
      <c r="T31" s="115"/>
      <c r="U31" s="115"/>
      <c r="V31" s="115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</row>
    <row r="32" spans="1:100" ht="15.75" x14ac:dyDescent="0.15">
      <c r="A32" s="33"/>
      <c r="B32" s="36"/>
      <c r="C32" s="36"/>
      <c r="D32" s="36"/>
      <c r="E32" s="36"/>
      <c r="F32" s="36"/>
      <c r="G32" s="35"/>
      <c r="H32" s="113"/>
      <c r="I32" s="113"/>
      <c r="J32" s="113"/>
      <c r="K32" s="114"/>
      <c r="L32" s="113"/>
      <c r="M32" s="113"/>
      <c r="N32" s="113"/>
      <c r="O32" s="113"/>
      <c r="P32" s="113"/>
      <c r="Q32" s="115"/>
      <c r="R32" s="115"/>
      <c r="S32" s="115"/>
      <c r="T32" s="115"/>
      <c r="U32" s="115"/>
      <c r="V32" s="115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  <c r="BK32" s="102"/>
      <c r="BL32" s="102"/>
      <c r="BM32" s="102"/>
      <c r="BN32" s="102"/>
      <c r="BO32" s="102"/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CT32" s="102"/>
      <c r="CU32" s="102"/>
      <c r="CV32" s="102"/>
    </row>
    <row r="33" spans="1:100" ht="15.75" x14ac:dyDescent="0.15">
      <c r="A33" s="33"/>
      <c r="B33" s="36"/>
      <c r="C33" s="36"/>
      <c r="D33" s="36"/>
      <c r="E33" s="36"/>
      <c r="F33" s="36"/>
      <c r="G33" s="35"/>
      <c r="H33" s="113"/>
      <c r="I33" s="113"/>
      <c r="J33" s="113"/>
      <c r="K33" s="114"/>
      <c r="L33" s="113"/>
      <c r="M33" s="113"/>
      <c r="N33" s="113"/>
      <c r="O33" s="113"/>
      <c r="P33" s="113"/>
      <c r="Q33" s="115"/>
      <c r="R33" s="115"/>
      <c r="S33" s="115"/>
      <c r="T33" s="115"/>
      <c r="U33" s="115"/>
      <c r="V33" s="115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2"/>
      <c r="CQ33" s="102"/>
      <c r="CR33" s="102"/>
      <c r="CS33" s="102"/>
      <c r="CT33" s="102"/>
      <c r="CU33" s="102"/>
      <c r="CV33" s="102"/>
    </row>
    <row r="34" spans="1:100" ht="15.75" x14ac:dyDescent="0.15">
      <c r="A34" s="33"/>
      <c r="B34" s="36"/>
      <c r="C34" s="36"/>
      <c r="D34" s="36"/>
      <c r="E34" s="36"/>
      <c r="F34" s="36"/>
      <c r="G34" s="35"/>
      <c r="H34" s="113"/>
      <c r="I34" s="113"/>
      <c r="J34" s="113"/>
      <c r="K34" s="114"/>
      <c r="L34" s="113"/>
      <c r="M34" s="113"/>
      <c r="N34" s="113"/>
      <c r="O34" s="113"/>
      <c r="P34" s="113"/>
      <c r="Q34" s="115"/>
      <c r="R34" s="115"/>
      <c r="S34" s="115"/>
      <c r="T34" s="115"/>
      <c r="U34" s="115"/>
      <c r="V34" s="115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 s="102"/>
      <c r="BY34" s="102"/>
      <c r="BZ34" s="102"/>
      <c r="CA34" s="102"/>
      <c r="CB34" s="102"/>
      <c r="CC34" s="102"/>
      <c r="CD34" s="102"/>
      <c r="CE34" s="102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2"/>
      <c r="CQ34" s="102"/>
      <c r="CR34" s="102"/>
      <c r="CS34" s="102"/>
      <c r="CT34" s="102"/>
      <c r="CU34" s="102"/>
      <c r="CV34" s="102"/>
    </row>
    <row r="35" spans="1:100" ht="15.75" x14ac:dyDescent="0.15">
      <c r="A35" s="33"/>
      <c r="B35" s="36"/>
      <c r="C35" s="36"/>
      <c r="D35" s="36"/>
      <c r="E35" s="36"/>
      <c r="F35" s="36"/>
      <c r="G35" s="35"/>
      <c r="H35" s="113"/>
      <c r="I35" s="113"/>
      <c r="J35" s="113"/>
      <c r="K35" s="114"/>
      <c r="L35" s="113"/>
      <c r="M35" s="113"/>
      <c r="N35" s="113"/>
      <c r="O35" s="113"/>
      <c r="P35" s="113"/>
      <c r="Q35" s="115"/>
      <c r="R35" s="115"/>
      <c r="S35" s="115"/>
      <c r="T35" s="115"/>
      <c r="U35" s="115"/>
      <c r="V35" s="115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2"/>
      <c r="AI35" s="102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102"/>
      <c r="AW35" s="102"/>
      <c r="AX35" s="102"/>
      <c r="AY35" s="102"/>
      <c r="AZ35" s="102"/>
      <c r="BA35" s="102"/>
      <c r="BB35" s="102"/>
      <c r="BC35" s="102"/>
      <c r="BD35" s="102"/>
      <c r="BE35" s="102"/>
      <c r="BF35" s="102"/>
      <c r="BG35" s="102"/>
      <c r="BH35" s="102"/>
      <c r="BI35" s="102"/>
      <c r="BJ35" s="102"/>
      <c r="BK35" s="102"/>
      <c r="BL35" s="102"/>
      <c r="BM35" s="102"/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CT35" s="102"/>
      <c r="CU35" s="102"/>
      <c r="CV35" s="102"/>
    </row>
    <row r="36" spans="1:100" ht="15.75" x14ac:dyDescent="0.15">
      <c r="A36" s="33"/>
      <c r="B36" s="36"/>
      <c r="C36" s="36"/>
      <c r="D36" s="36"/>
      <c r="E36" s="36"/>
      <c r="F36" s="36"/>
      <c r="G36" s="35"/>
      <c r="H36" s="113"/>
      <c r="I36" s="113"/>
      <c r="J36" s="113"/>
      <c r="K36" s="114"/>
      <c r="L36" s="113"/>
      <c r="M36" s="113"/>
      <c r="N36" s="113"/>
      <c r="O36" s="113"/>
      <c r="P36" s="113"/>
      <c r="Q36" s="115"/>
      <c r="R36" s="115"/>
      <c r="S36" s="115"/>
      <c r="T36" s="115"/>
      <c r="U36" s="115"/>
      <c r="V36" s="115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</row>
    <row r="37" spans="1:100" ht="15.75" x14ac:dyDescent="0.15">
      <c r="A37" s="33"/>
      <c r="B37" s="36"/>
      <c r="C37" s="36"/>
      <c r="D37" s="36"/>
      <c r="E37" s="36"/>
      <c r="F37" s="36"/>
      <c r="G37" s="35"/>
      <c r="H37" s="113"/>
      <c r="I37" s="113"/>
      <c r="J37" s="113"/>
      <c r="K37" s="114"/>
      <c r="L37" s="113"/>
      <c r="M37" s="113"/>
      <c r="N37" s="113"/>
      <c r="O37" s="113"/>
      <c r="P37" s="113"/>
      <c r="Q37" s="115"/>
      <c r="R37" s="115"/>
      <c r="S37" s="115"/>
      <c r="T37" s="115"/>
      <c r="U37" s="115"/>
      <c r="V37" s="115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</row>
    <row r="38" spans="1:100" ht="15.75" x14ac:dyDescent="0.15">
      <c r="A38" s="33"/>
      <c r="B38" s="36"/>
      <c r="C38" s="36"/>
      <c r="D38" s="36"/>
      <c r="E38" s="36"/>
      <c r="F38" s="36"/>
      <c r="G38" s="35"/>
      <c r="H38" s="113"/>
      <c r="I38" s="113"/>
      <c r="J38" s="113"/>
      <c r="K38" s="114"/>
      <c r="L38" s="113"/>
      <c r="M38" s="113"/>
      <c r="N38" s="113"/>
      <c r="O38" s="113"/>
      <c r="P38" s="113"/>
      <c r="Q38" s="115"/>
      <c r="R38" s="115"/>
      <c r="S38" s="115"/>
      <c r="T38" s="115"/>
      <c r="U38" s="115"/>
      <c r="V38" s="115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</row>
    <row r="39" spans="1:100" ht="15.75" x14ac:dyDescent="0.15">
      <c r="A39" s="33"/>
      <c r="B39" s="36"/>
      <c r="C39" s="36"/>
      <c r="D39" s="36"/>
      <c r="E39" s="36"/>
      <c r="F39" s="36"/>
      <c r="G39" s="35"/>
      <c r="H39" s="113"/>
      <c r="I39" s="113"/>
      <c r="J39" s="113"/>
      <c r="K39" s="114"/>
      <c r="L39" s="113"/>
      <c r="M39" s="113"/>
      <c r="N39" s="113"/>
      <c r="O39" s="113"/>
      <c r="P39" s="113"/>
      <c r="Q39" s="115"/>
      <c r="R39" s="115"/>
      <c r="S39" s="115"/>
      <c r="T39" s="115"/>
      <c r="U39" s="115"/>
      <c r="V39" s="115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2"/>
      <c r="BL39" s="102"/>
      <c r="BM39" s="102"/>
      <c r="BN39" s="102"/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CU39" s="102"/>
      <c r="CV39" s="102"/>
    </row>
    <row r="40" spans="1:100" ht="15.75" x14ac:dyDescent="0.15">
      <c r="A40" s="33"/>
      <c r="B40" s="36"/>
      <c r="C40" s="36"/>
      <c r="D40" s="36"/>
      <c r="E40" s="36"/>
      <c r="F40" s="36"/>
      <c r="G40" s="35"/>
      <c r="H40" s="113"/>
      <c r="I40" s="113"/>
      <c r="J40" s="113"/>
      <c r="K40" s="114"/>
      <c r="L40" s="113"/>
      <c r="M40" s="113"/>
      <c r="N40" s="113"/>
      <c r="O40" s="113"/>
      <c r="P40" s="113"/>
      <c r="Q40" s="115"/>
      <c r="R40" s="115"/>
      <c r="S40" s="115"/>
      <c r="T40" s="115"/>
      <c r="U40" s="115"/>
      <c r="V40" s="115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 s="102"/>
      <c r="BY40" s="102"/>
      <c r="BZ40" s="102"/>
      <c r="CA40" s="102"/>
      <c r="CB40" s="102"/>
      <c r="CC40" s="102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02"/>
      <c r="CV40" s="102"/>
    </row>
    <row r="41" spans="1:100" ht="15.75" x14ac:dyDescent="0.15">
      <c r="A41" s="33"/>
      <c r="B41" s="36"/>
      <c r="C41" s="36"/>
      <c r="D41" s="36"/>
      <c r="E41" s="36"/>
      <c r="F41" s="36"/>
      <c r="G41" s="35"/>
      <c r="H41" s="113"/>
      <c r="I41" s="113"/>
      <c r="J41" s="113"/>
      <c r="K41" s="114"/>
      <c r="L41" s="113"/>
      <c r="M41" s="113"/>
      <c r="N41" s="113"/>
      <c r="O41" s="113"/>
      <c r="P41" s="113"/>
      <c r="Q41" s="115"/>
      <c r="R41" s="115"/>
      <c r="S41" s="115"/>
      <c r="T41" s="115"/>
      <c r="U41" s="115"/>
      <c r="V41" s="115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2"/>
      <c r="CS41" s="102"/>
      <c r="CT41" s="102"/>
      <c r="CU41" s="102"/>
      <c r="CV41" s="102"/>
    </row>
    <row r="42" spans="1:100" ht="15.75" x14ac:dyDescent="0.15">
      <c r="A42" s="33"/>
      <c r="B42" s="36"/>
      <c r="C42" s="36"/>
      <c r="D42" s="36"/>
      <c r="E42" s="36"/>
      <c r="F42" s="36"/>
      <c r="G42" s="35"/>
      <c r="H42" s="113"/>
      <c r="I42" s="113"/>
      <c r="J42" s="113"/>
      <c r="K42" s="114"/>
      <c r="L42" s="113"/>
      <c r="M42" s="113"/>
      <c r="N42" s="113"/>
      <c r="O42" s="113"/>
      <c r="P42" s="113"/>
      <c r="Q42" s="115"/>
      <c r="R42" s="115"/>
      <c r="S42" s="115"/>
      <c r="T42" s="115"/>
      <c r="U42" s="115"/>
      <c r="V42" s="115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02"/>
      <c r="BZ42" s="102"/>
      <c r="CA42" s="102"/>
      <c r="CB42" s="102"/>
      <c r="CC42" s="102"/>
      <c r="CD42" s="102"/>
      <c r="CE42" s="102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2"/>
      <c r="CQ42" s="102"/>
      <c r="CR42" s="102"/>
      <c r="CS42" s="102"/>
      <c r="CT42" s="102"/>
      <c r="CU42" s="102"/>
      <c r="CV42" s="102"/>
    </row>
    <row r="43" spans="1:100" ht="15.75" x14ac:dyDescent="0.15">
      <c r="A43" s="33"/>
      <c r="B43" s="36"/>
      <c r="C43" s="36"/>
      <c r="D43" s="36"/>
      <c r="E43" s="36"/>
      <c r="F43" s="36"/>
      <c r="G43" s="35"/>
      <c r="H43" s="113"/>
      <c r="I43" s="113"/>
      <c r="J43" s="113"/>
      <c r="K43" s="114"/>
      <c r="L43" s="113"/>
      <c r="M43" s="113"/>
      <c r="N43" s="113"/>
      <c r="O43" s="113"/>
      <c r="P43" s="113"/>
      <c r="Q43" s="115"/>
      <c r="R43" s="115"/>
      <c r="S43" s="115"/>
      <c r="T43" s="115"/>
      <c r="U43" s="115"/>
      <c r="V43" s="115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02"/>
      <c r="BZ43" s="102"/>
      <c r="CA43" s="102"/>
      <c r="CB43" s="102"/>
      <c r="CC43" s="102"/>
      <c r="CD43" s="102"/>
      <c r="CE43" s="102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2"/>
      <c r="CQ43" s="102"/>
      <c r="CR43" s="102"/>
      <c r="CS43" s="102"/>
      <c r="CT43" s="102"/>
      <c r="CU43" s="102"/>
      <c r="CV43" s="102"/>
    </row>
    <row r="44" spans="1:100" ht="15.75" x14ac:dyDescent="0.15">
      <c r="A44" s="33"/>
      <c r="B44" s="36"/>
      <c r="C44" s="36"/>
      <c r="D44" s="36"/>
      <c r="E44" s="36"/>
      <c r="F44" s="36"/>
      <c r="G44" s="35"/>
      <c r="H44" s="113"/>
      <c r="I44" s="113"/>
      <c r="J44" s="113"/>
      <c r="K44" s="114"/>
      <c r="L44" s="113"/>
      <c r="M44" s="113"/>
      <c r="N44" s="113"/>
      <c r="O44" s="113"/>
      <c r="P44" s="113"/>
      <c r="Q44" s="115"/>
      <c r="R44" s="115"/>
      <c r="S44" s="115"/>
      <c r="T44" s="115"/>
      <c r="U44" s="115"/>
      <c r="V44" s="115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BY44" s="102"/>
      <c r="BZ44" s="102"/>
      <c r="CA44" s="102"/>
      <c r="CB44" s="102"/>
      <c r="CC44" s="102"/>
      <c r="CD44" s="102"/>
      <c r="CE44" s="102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2"/>
      <c r="CV44" s="102"/>
    </row>
    <row r="45" spans="1:100" ht="15.75" x14ac:dyDescent="0.15">
      <c r="A45" s="33"/>
      <c r="B45" s="36"/>
      <c r="C45" s="36"/>
      <c r="D45" s="36"/>
      <c r="E45" s="36"/>
      <c r="F45" s="36"/>
      <c r="G45" s="35"/>
      <c r="H45" s="113"/>
      <c r="I45" s="113"/>
      <c r="J45" s="113"/>
      <c r="K45" s="114"/>
      <c r="L45" s="113"/>
      <c r="M45" s="113"/>
      <c r="N45" s="113"/>
      <c r="O45" s="113"/>
      <c r="P45" s="113"/>
      <c r="Q45" s="115"/>
      <c r="R45" s="115"/>
      <c r="S45" s="115"/>
      <c r="T45" s="115"/>
      <c r="U45" s="115"/>
      <c r="V45" s="115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</row>
    <row r="46" spans="1:100" ht="15.75" x14ac:dyDescent="0.15">
      <c r="A46" s="33"/>
      <c r="B46" s="36"/>
      <c r="C46" s="36"/>
      <c r="D46" s="36"/>
      <c r="E46" s="36"/>
      <c r="F46" s="36"/>
      <c r="G46" s="35"/>
      <c r="H46" s="113"/>
      <c r="I46" s="113"/>
      <c r="J46" s="113"/>
      <c r="K46" s="114"/>
      <c r="L46" s="113"/>
      <c r="M46" s="113"/>
      <c r="N46" s="113"/>
      <c r="O46" s="113"/>
      <c r="P46" s="113"/>
      <c r="Q46" s="115"/>
      <c r="R46" s="115"/>
      <c r="S46" s="115"/>
      <c r="T46" s="115"/>
      <c r="U46" s="115"/>
      <c r="V46" s="115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</row>
    <row r="47" spans="1:100" ht="15.75" x14ac:dyDescent="0.15">
      <c r="A47" s="33"/>
      <c r="B47" s="36"/>
      <c r="C47" s="36"/>
      <c r="D47" s="36"/>
      <c r="E47" s="36"/>
      <c r="F47" s="36"/>
      <c r="G47" s="35"/>
      <c r="H47" s="113"/>
      <c r="I47" s="113"/>
      <c r="J47" s="113"/>
      <c r="K47" s="114"/>
      <c r="L47" s="113"/>
      <c r="M47" s="113"/>
      <c r="N47" s="113"/>
      <c r="O47" s="113"/>
      <c r="P47" s="113"/>
      <c r="Q47" s="115"/>
      <c r="R47" s="115"/>
      <c r="S47" s="115"/>
      <c r="T47" s="115"/>
      <c r="U47" s="115"/>
      <c r="V47" s="115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</row>
    <row r="48" spans="1:100" ht="15.75" x14ac:dyDescent="0.15">
      <c r="A48" s="33"/>
      <c r="B48" s="36"/>
      <c r="C48" s="36"/>
      <c r="D48" s="36"/>
      <c r="E48" s="36"/>
      <c r="F48" s="36"/>
      <c r="G48" s="35"/>
      <c r="H48" s="113"/>
      <c r="I48" s="113"/>
      <c r="J48" s="113"/>
      <c r="K48" s="114"/>
      <c r="L48" s="113"/>
      <c r="M48" s="113"/>
      <c r="N48" s="113"/>
      <c r="O48" s="113"/>
      <c r="P48" s="113"/>
      <c r="Q48" s="115"/>
      <c r="R48" s="115"/>
      <c r="S48" s="115"/>
      <c r="T48" s="115"/>
      <c r="U48" s="115"/>
      <c r="V48" s="115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</row>
    <row r="49" spans="1:100" ht="15.75" x14ac:dyDescent="0.15">
      <c r="A49" s="33"/>
      <c r="B49" s="36"/>
      <c r="C49" s="36"/>
      <c r="D49" s="36"/>
      <c r="E49" s="36"/>
      <c r="F49" s="36"/>
      <c r="G49" s="35"/>
      <c r="H49" s="113"/>
      <c r="I49" s="113"/>
      <c r="J49" s="113"/>
      <c r="K49" s="114"/>
      <c r="L49" s="113"/>
      <c r="M49" s="113"/>
      <c r="N49" s="113"/>
      <c r="O49" s="113"/>
      <c r="P49" s="113"/>
      <c r="Q49" s="115"/>
      <c r="R49" s="115"/>
      <c r="S49" s="115"/>
      <c r="T49" s="115"/>
      <c r="U49" s="115"/>
      <c r="V49" s="115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02"/>
      <c r="BZ49" s="102"/>
      <c r="CA49" s="102"/>
      <c r="CB49" s="102"/>
      <c r="CC49" s="102"/>
      <c r="CD49" s="102"/>
      <c r="CE49" s="102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2"/>
      <c r="CQ49" s="102"/>
      <c r="CR49" s="102"/>
      <c r="CS49" s="102"/>
      <c r="CT49" s="102"/>
      <c r="CU49" s="102"/>
      <c r="CV49" s="102"/>
    </row>
    <row r="50" spans="1:100" ht="15.75" x14ac:dyDescent="0.15">
      <c r="A50" s="33"/>
      <c r="B50" s="36"/>
      <c r="C50" s="36"/>
      <c r="D50" s="36"/>
      <c r="E50" s="36"/>
      <c r="F50" s="36"/>
      <c r="G50" s="35"/>
      <c r="H50" s="113"/>
      <c r="I50" s="113"/>
      <c r="J50" s="113"/>
      <c r="K50" s="114"/>
      <c r="L50" s="113"/>
      <c r="M50" s="113"/>
      <c r="N50" s="113"/>
      <c r="O50" s="113"/>
      <c r="P50" s="113"/>
      <c r="Q50" s="115"/>
      <c r="R50" s="115"/>
      <c r="S50" s="115"/>
      <c r="T50" s="115"/>
      <c r="U50" s="115"/>
      <c r="V50" s="115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02"/>
      <c r="BZ50" s="102"/>
      <c r="CA50" s="102"/>
      <c r="CB50" s="102"/>
      <c r="CC50" s="102"/>
      <c r="CD50" s="102"/>
      <c r="CE50" s="102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2"/>
      <c r="CQ50" s="102"/>
      <c r="CR50" s="102"/>
      <c r="CS50" s="102"/>
      <c r="CT50" s="102"/>
      <c r="CU50" s="102"/>
      <c r="CV50" s="102"/>
    </row>
    <row r="51" spans="1:100" ht="15.75" x14ac:dyDescent="0.15">
      <c r="A51" s="33"/>
      <c r="B51" s="36"/>
      <c r="C51" s="36"/>
      <c r="D51" s="36"/>
      <c r="E51" s="36"/>
      <c r="F51" s="36"/>
      <c r="G51" s="35"/>
      <c r="H51" s="113"/>
      <c r="I51" s="113"/>
      <c r="J51" s="113"/>
      <c r="K51" s="114"/>
      <c r="L51" s="113"/>
      <c r="M51" s="113"/>
      <c r="N51" s="113"/>
      <c r="O51" s="113"/>
      <c r="P51" s="113"/>
      <c r="Q51" s="115"/>
      <c r="R51" s="115"/>
      <c r="S51" s="115"/>
      <c r="T51" s="115"/>
      <c r="U51" s="115"/>
      <c r="V51" s="115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02"/>
      <c r="BZ51" s="102"/>
      <c r="CA51" s="102"/>
      <c r="CB51" s="102"/>
      <c r="CC51" s="102"/>
      <c r="CD51" s="102"/>
      <c r="CE51" s="102"/>
      <c r="CF51" s="102"/>
      <c r="CG51" s="102"/>
      <c r="CH51" s="102"/>
      <c r="CI51" s="102"/>
      <c r="CJ51" s="102"/>
      <c r="CK51" s="102"/>
      <c r="CL51" s="102"/>
      <c r="CM51" s="102"/>
      <c r="CN51" s="102"/>
      <c r="CO51" s="102"/>
      <c r="CP51" s="102"/>
      <c r="CQ51" s="102"/>
      <c r="CR51" s="102"/>
      <c r="CS51" s="102"/>
      <c r="CT51" s="102"/>
      <c r="CU51" s="102"/>
      <c r="CV51" s="102"/>
    </row>
    <row r="52" spans="1:100" ht="15.75" x14ac:dyDescent="0.15">
      <c r="A52" s="33"/>
      <c r="B52" s="36"/>
      <c r="C52" s="36"/>
      <c r="D52" s="36"/>
      <c r="E52" s="36"/>
      <c r="F52" s="36"/>
      <c r="G52" s="35"/>
      <c r="H52" s="113"/>
      <c r="I52" s="113"/>
      <c r="J52" s="113"/>
      <c r="K52" s="114"/>
      <c r="L52" s="113"/>
      <c r="M52" s="113"/>
      <c r="N52" s="113"/>
      <c r="O52" s="113"/>
      <c r="P52" s="113"/>
      <c r="Q52" s="115"/>
      <c r="R52" s="115"/>
      <c r="S52" s="115"/>
      <c r="T52" s="115"/>
      <c r="U52" s="115"/>
      <c r="V52" s="115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  <c r="BI52" s="102"/>
      <c r="BJ52" s="102"/>
      <c r="BK52" s="102"/>
      <c r="BL52" s="102"/>
      <c r="BM52" s="102"/>
      <c r="BN52" s="102"/>
      <c r="BO52" s="102"/>
      <c r="BP52" s="102"/>
      <c r="BQ52" s="102"/>
      <c r="BR52" s="102"/>
      <c r="BS52" s="102"/>
      <c r="BT52" s="102"/>
      <c r="BU52" s="102"/>
      <c r="BV52" s="102"/>
      <c r="BW52" s="102"/>
      <c r="BX52" s="102"/>
      <c r="BY52" s="102"/>
      <c r="BZ52" s="102"/>
      <c r="CA52" s="102"/>
      <c r="CB52" s="102"/>
      <c r="CC52" s="102"/>
      <c r="CD52" s="102"/>
      <c r="CE52" s="102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2"/>
      <c r="CQ52" s="102"/>
      <c r="CR52" s="102"/>
      <c r="CS52" s="102"/>
      <c r="CT52" s="102"/>
      <c r="CU52" s="102"/>
      <c r="CV52" s="102"/>
    </row>
    <row r="53" spans="1:100" ht="15.75" x14ac:dyDescent="0.15">
      <c r="A53" s="33"/>
      <c r="B53" s="36"/>
      <c r="C53" s="36"/>
      <c r="D53" s="36"/>
      <c r="E53" s="36"/>
      <c r="F53" s="36"/>
      <c r="G53" s="35"/>
      <c r="H53" s="113"/>
      <c r="I53" s="113"/>
      <c r="J53" s="113"/>
      <c r="K53" s="114"/>
      <c r="L53" s="113"/>
      <c r="M53" s="113"/>
      <c r="N53" s="113"/>
      <c r="O53" s="113"/>
      <c r="P53" s="113"/>
      <c r="Q53" s="115"/>
      <c r="R53" s="115"/>
      <c r="S53" s="115"/>
      <c r="T53" s="115"/>
      <c r="U53" s="115"/>
      <c r="V53" s="115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X53" s="102"/>
      <c r="AY53" s="102"/>
      <c r="AZ53" s="102"/>
      <c r="BA53" s="102"/>
      <c r="BB53" s="102"/>
      <c r="BC53" s="102"/>
      <c r="BD53" s="102"/>
      <c r="BE53" s="102"/>
      <c r="BF53" s="102"/>
      <c r="BG53" s="102"/>
      <c r="BH53" s="102"/>
      <c r="BI53" s="102"/>
      <c r="BJ53" s="102"/>
      <c r="BK53" s="102"/>
      <c r="BL53" s="102"/>
      <c r="BM53" s="102"/>
      <c r="BN53" s="102"/>
      <c r="BO53" s="102"/>
      <c r="BP53" s="102"/>
      <c r="BQ53" s="102"/>
      <c r="BR53" s="102"/>
      <c r="BS53" s="102"/>
      <c r="BT53" s="102"/>
      <c r="BU53" s="102"/>
      <c r="BV53" s="102"/>
      <c r="BW53" s="102"/>
      <c r="BX53" s="102"/>
      <c r="BY53" s="102"/>
      <c r="BZ53" s="102"/>
      <c r="CA53" s="102"/>
      <c r="CB53" s="102"/>
      <c r="CC53" s="102"/>
      <c r="CD53" s="102"/>
      <c r="CE53" s="102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2"/>
      <c r="CQ53" s="102"/>
      <c r="CR53" s="102"/>
      <c r="CS53" s="102"/>
      <c r="CT53" s="102"/>
      <c r="CU53" s="102"/>
      <c r="CV53" s="102"/>
    </row>
    <row r="54" spans="1:100" ht="15.75" x14ac:dyDescent="0.15">
      <c r="A54" s="33"/>
      <c r="B54" s="36"/>
      <c r="C54" s="36"/>
      <c r="D54" s="36"/>
      <c r="E54" s="36"/>
      <c r="F54" s="36"/>
      <c r="G54" s="35"/>
      <c r="H54" s="113"/>
      <c r="I54" s="113"/>
      <c r="J54" s="113"/>
      <c r="K54" s="114"/>
      <c r="L54" s="113"/>
      <c r="M54" s="113"/>
      <c r="N54" s="113"/>
      <c r="O54" s="113"/>
      <c r="P54" s="113"/>
      <c r="Q54" s="115"/>
      <c r="R54" s="115"/>
      <c r="S54" s="115"/>
      <c r="T54" s="115"/>
      <c r="U54" s="115"/>
      <c r="V54" s="115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  <c r="BK54" s="102"/>
      <c r="BL54" s="102"/>
      <c r="BM54" s="102"/>
      <c r="BN54" s="102"/>
      <c r="BO54" s="102"/>
      <c r="BP54" s="102"/>
      <c r="BQ54" s="102"/>
      <c r="BR54" s="102"/>
      <c r="BS54" s="102"/>
      <c r="BT54" s="102"/>
      <c r="BU54" s="102"/>
      <c r="BV54" s="102"/>
      <c r="BW54" s="102"/>
      <c r="BX54" s="102"/>
      <c r="BY54" s="102"/>
      <c r="BZ54" s="102"/>
      <c r="CA54" s="102"/>
      <c r="CB54" s="102"/>
      <c r="CC54" s="102"/>
      <c r="CD54" s="102"/>
      <c r="CE54" s="102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2"/>
      <c r="CQ54" s="102"/>
      <c r="CR54" s="102"/>
      <c r="CS54" s="102"/>
      <c r="CT54" s="102"/>
      <c r="CU54" s="102"/>
      <c r="CV54" s="102"/>
    </row>
    <row r="55" spans="1:100" ht="15.75" x14ac:dyDescent="0.15">
      <c r="A55" s="33"/>
      <c r="B55" s="36"/>
      <c r="C55" s="36"/>
      <c r="D55" s="36"/>
      <c r="E55" s="36"/>
      <c r="F55" s="36"/>
      <c r="G55" s="35"/>
      <c r="H55" s="113"/>
      <c r="I55" s="113"/>
      <c r="J55" s="113"/>
      <c r="K55" s="114"/>
      <c r="L55" s="113"/>
      <c r="M55" s="113"/>
      <c r="N55" s="113"/>
      <c r="O55" s="113"/>
      <c r="P55" s="113"/>
      <c r="Q55" s="115"/>
      <c r="R55" s="115"/>
      <c r="S55" s="115"/>
      <c r="T55" s="115"/>
      <c r="U55" s="115"/>
      <c r="V55" s="115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X55" s="102"/>
      <c r="AY55" s="102"/>
      <c r="AZ55" s="102"/>
      <c r="BA55" s="102"/>
      <c r="BB55" s="102"/>
      <c r="BC55" s="102"/>
      <c r="BD55" s="102"/>
      <c r="BE55" s="102"/>
      <c r="BF55" s="102"/>
      <c r="BG55" s="102"/>
      <c r="BH55" s="102"/>
      <c r="BI55" s="102"/>
      <c r="BJ55" s="102"/>
      <c r="BK55" s="102"/>
      <c r="BL55" s="102"/>
      <c r="BM55" s="102"/>
      <c r="BN55" s="102"/>
      <c r="BO55" s="102"/>
      <c r="BP55" s="102"/>
      <c r="BQ55" s="102"/>
      <c r="BR55" s="102"/>
      <c r="BS55" s="102"/>
      <c r="BT55" s="102"/>
      <c r="BU55" s="102"/>
      <c r="BV55" s="102"/>
      <c r="BW55" s="102"/>
      <c r="BX55" s="102"/>
      <c r="BY55" s="102"/>
      <c r="BZ55" s="102"/>
      <c r="CA55" s="102"/>
      <c r="CB55" s="102"/>
      <c r="CC55" s="102"/>
      <c r="CD55" s="102"/>
      <c r="CE55" s="102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2"/>
      <c r="CQ55" s="102"/>
      <c r="CR55" s="102"/>
      <c r="CS55" s="102"/>
      <c r="CT55" s="102"/>
      <c r="CU55" s="102"/>
      <c r="CV55" s="102"/>
    </row>
    <row r="56" spans="1:100" ht="15.75" x14ac:dyDescent="0.15">
      <c r="A56" s="33"/>
      <c r="B56" s="36"/>
      <c r="C56" s="36"/>
      <c r="D56" s="36"/>
      <c r="E56" s="36"/>
      <c r="F56" s="36"/>
      <c r="G56" s="35"/>
      <c r="H56" s="113"/>
      <c r="I56" s="113"/>
      <c r="J56" s="113"/>
      <c r="K56" s="114"/>
      <c r="L56" s="113"/>
      <c r="M56" s="113"/>
      <c r="N56" s="113"/>
      <c r="O56" s="113"/>
      <c r="P56" s="113"/>
      <c r="Q56" s="115"/>
      <c r="R56" s="115"/>
      <c r="S56" s="115"/>
      <c r="T56" s="115"/>
      <c r="U56" s="115"/>
      <c r="V56" s="115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  <c r="BI56" s="102"/>
      <c r="BJ56" s="102"/>
      <c r="BK56" s="102"/>
      <c r="BL56" s="102"/>
      <c r="BM56" s="102"/>
      <c r="BN56" s="102"/>
      <c r="BO56" s="102"/>
      <c r="BP56" s="102"/>
      <c r="BQ56" s="102"/>
      <c r="BR56" s="102"/>
      <c r="BS56" s="102"/>
      <c r="BT56" s="102"/>
      <c r="BU56" s="102"/>
      <c r="BV56" s="102"/>
      <c r="BW56" s="102"/>
      <c r="BX56" s="102"/>
      <c r="BY56" s="102"/>
      <c r="BZ56" s="102"/>
      <c r="CA56" s="102"/>
      <c r="CB56" s="102"/>
      <c r="CC56" s="102"/>
      <c r="CD56" s="102"/>
      <c r="CE56" s="102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2"/>
      <c r="CQ56" s="102"/>
      <c r="CR56" s="102"/>
      <c r="CS56" s="102"/>
      <c r="CT56" s="102"/>
      <c r="CU56" s="102"/>
      <c r="CV56" s="102"/>
    </row>
    <row r="57" spans="1:100" ht="15.75" x14ac:dyDescent="0.15">
      <c r="A57" s="33"/>
      <c r="B57" s="36"/>
      <c r="C57" s="36"/>
      <c r="D57" s="36"/>
      <c r="E57" s="36"/>
      <c r="F57" s="36"/>
      <c r="G57" s="35"/>
      <c r="H57" s="113"/>
      <c r="I57" s="113"/>
      <c r="J57" s="113"/>
      <c r="K57" s="114"/>
      <c r="L57" s="113"/>
      <c r="M57" s="113"/>
      <c r="N57" s="113"/>
      <c r="O57" s="113"/>
      <c r="P57" s="113"/>
      <c r="Q57" s="115"/>
      <c r="R57" s="115"/>
      <c r="S57" s="115"/>
      <c r="T57" s="115"/>
      <c r="U57" s="115"/>
      <c r="V57" s="115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02"/>
      <c r="AX57" s="102"/>
      <c r="AY57" s="102"/>
      <c r="AZ57" s="102"/>
      <c r="BA57" s="102"/>
      <c r="BB57" s="102"/>
      <c r="BC57" s="102"/>
      <c r="BD57" s="102"/>
      <c r="BE57" s="102"/>
      <c r="BF57" s="102"/>
      <c r="BG57" s="102"/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  <c r="CB57" s="102"/>
      <c r="CC57" s="102"/>
      <c r="CD57" s="102"/>
      <c r="CE57" s="102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2"/>
      <c r="CQ57" s="102"/>
      <c r="CR57" s="102"/>
      <c r="CS57" s="102"/>
      <c r="CT57" s="102"/>
      <c r="CU57" s="102"/>
      <c r="CV57" s="102"/>
    </row>
    <row r="58" spans="1:100" ht="15.75" x14ac:dyDescent="0.15">
      <c r="A58" s="33"/>
      <c r="B58" s="36"/>
      <c r="C58" s="36"/>
      <c r="D58" s="36"/>
      <c r="E58" s="36"/>
      <c r="F58" s="36"/>
      <c r="G58" s="35"/>
      <c r="H58" s="113"/>
      <c r="I58" s="113"/>
      <c r="J58" s="113"/>
      <c r="K58" s="114"/>
      <c r="L58" s="113"/>
      <c r="M58" s="113"/>
      <c r="N58" s="113"/>
      <c r="O58" s="113"/>
      <c r="P58" s="113"/>
      <c r="Q58" s="115"/>
      <c r="R58" s="115"/>
      <c r="S58" s="115"/>
      <c r="T58" s="115"/>
      <c r="U58" s="115"/>
      <c r="V58" s="115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  <c r="CB58" s="102"/>
      <c r="CC58" s="102"/>
      <c r="CD58" s="102"/>
      <c r="CE58" s="102"/>
      <c r="CF58" s="102"/>
      <c r="CG58" s="102"/>
      <c r="CH58" s="102"/>
      <c r="CI58" s="102"/>
      <c r="CJ58" s="102"/>
      <c r="CK58" s="102"/>
      <c r="CL58" s="102"/>
      <c r="CM58" s="102"/>
      <c r="CN58" s="102"/>
      <c r="CO58" s="102"/>
      <c r="CP58" s="102"/>
      <c r="CQ58" s="102"/>
      <c r="CR58" s="102"/>
      <c r="CS58" s="102"/>
      <c r="CT58" s="102"/>
      <c r="CU58" s="102"/>
      <c r="CV58" s="102"/>
    </row>
    <row r="59" spans="1:100" ht="15.75" x14ac:dyDescent="0.15">
      <c r="A59" s="33"/>
      <c r="B59" s="36"/>
      <c r="C59" s="36"/>
      <c r="D59" s="36"/>
      <c r="E59" s="36"/>
      <c r="F59" s="36"/>
      <c r="G59" s="35"/>
      <c r="H59" s="113"/>
      <c r="I59" s="113"/>
      <c r="J59" s="113"/>
      <c r="K59" s="114"/>
      <c r="L59" s="113"/>
      <c r="M59" s="113"/>
      <c r="N59" s="113"/>
      <c r="O59" s="113"/>
      <c r="P59" s="113"/>
      <c r="Q59" s="115"/>
      <c r="R59" s="115"/>
      <c r="S59" s="115"/>
      <c r="T59" s="115"/>
      <c r="U59" s="115"/>
      <c r="V59" s="115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X59" s="102"/>
      <c r="AY59" s="102"/>
      <c r="AZ59" s="102"/>
      <c r="BA59" s="102"/>
      <c r="BB59" s="102"/>
      <c r="BC59" s="102"/>
      <c r="BD59" s="102"/>
      <c r="BE59" s="102"/>
      <c r="BF59" s="102"/>
      <c r="BG59" s="102"/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CT59" s="102"/>
      <c r="CU59" s="102"/>
      <c r="CV59" s="102"/>
    </row>
    <row r="60" spans="1:100" ht="15.75" x14ac:dyDescent="0.15">
      <c r="A60" s="33"/>
      <c r="B60" s="36"/>
      <c r="C60" s="36"/>
      <c r="D60" s="36"/>
      <c r="E60" s="36"/>
      <c r="F60" s="36"/>
      <c r="G60" s="35"/>
      <c r="H60" s="113"/>
      <c r="I60" s="113"/>
      <c r="J60" s="113"/>
      <c r="K60" s="114"/>
      <c r="L60" s="113"/>
      <c r="M60" s="113"/>
      <c r="N60" s="113"/>
      <c r="O60" s="113"/>
      <c r="P60" s="113"/>
      <c r="Q60" s="115"/>
      <c r="R60" s="115"/>
      <c r="S60" s="115"/>
      <c r="T60" s="115"/>
      <c r="U60" s="115"/>
      <c r="V60" s="115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  <c r="BI60" s="102"/>
      <c r="BJ60" s="102"/>
      <c r="BK60" s="102"/>
      <c r="BL60" s="102"/>
      <c r="BM60" s="102"/>
      <c r="BN60" s="102"/>
      <c r="BO60" s="102"/>
      <c r="BP60" s="102"/>
      <c r="BQ60" s="102"/>
      <c r="BR60" s="102"/>
      <c r="BS60" s="102"/>
      <c r="BT60" s="102"/>
      <c r="BU60" s="102"/>
      <c r="BV60" s="102"/>
      <c r="BW60" s="102"/>
      <c r="BX60" s="102"/>
      <c r="BY60" s="102"/>
      <c r="BZ60" s="102"/>
      <c r="CA60" s="102"/>
      <c r="CB60" s="102"/>
      <c r="CC60" s="102"/>
      <c r="CD60" s="102"/>
      <c r="CE60" s="102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2"/>
      <c r="CQ60" s="102"/>
      <c r="CR60" s="102"/>
      <c r="CS60" s="102"/>
      <c r="CT60" s="102"/>
      <c r="CU60" s="102"/>
      <c r="CV60" s="102"/>
    </row>
    <row r="61" spans="1:100" ht="15.75" x14ac:dyDescent="0.15">
      <c r="A61" s="33"/>
      <c r="B61" s="36"/>
      <c r="C61" s="36"/>
      <c r="D61" s="36"/>
      <c r="E61" s="36"/>
      <c r="F61" s="36"/>
      <c r="G61" s="35"/>
      <c r="H61" s="113"/>
      <c r="I61" s="113"/>
      <c r="J61" s="113"/>
      <c r="K61" s="114"/>
      <c r="L61" s="113"/>
      <c r="M61" s="113"/>
      <c r="N61" s="113"/>
      <c r="O61" s="113"/>
      <c r="P61" s="113"/>
      <c r="Q61" s="115"/>
      <c r="R61" s="115"/>
      <c r="S61" s="115"/>
      <c r="T61" s="115"/>
      <c r="U61" s="115"/>
      <c r="V61" s="115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2"/>
      <c r="BC61" s="102"/>
      <c r="BD61" s="102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2"/>
      <c r="BP61" s="102"/>
      <c r="BQ61" s="102"/>
      <c r="BR61" s="102"/>
      <c r="BS61" s="102"/>
      <c r="BT61" s="102"/>
      <c r="BU61" s="102"/>
      <c r="BV61" s="102"/>
      <c r="BW61" s="102"/>
      <c r="BX61" s="102"/>
      <c r="BY61" s="102"/>
      <c r="BZ61" s="102"/>
      <c r="CA61" s="102"/>
      <c r="CB61" s="102"/>
      <c r="CC61" s="102"/>
      <c r="CD61" s="102"/>
      <c r="CE61" s="102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2"/>
      <c r="CQ61" s="102"/>
      <c r="CR61" s="102"/>
      <c r="CS61" s="102"/>
      <c r="CT61" s="102"/>
      <c r="CU61" s="102"/>
      <c r="CV61" s="102"/>
    </row>
    <row r="62" spans="1:100" ht="15.75" x14ac:dyDescent="0.15">
      <c r="A62" s="33"/>
      <c r="B62" s="36"/>
      <c r="C62" s="36"/>
      <c r="D62" s="36"/>
      <c r="E62" s="36"/>
      <c r="F62" s="36"/>
      <c r="G62" s="35"/>
      <c r="H62" s="113"/>
      <c r="I62" s="113"/>
      <c r="J62" s="113"/>
      <c r="K62" s="114"/>
      <c r="L62" s="113"/>
      <c r="M62" s="113"/>
      <c r="N62" s="113"/>
      <c r="O62" s="113"/>
      <c r="P62" s="113"/>
      <c r="Q62" s="115"/>
      <c r="R62" s="115"/>
      <c r="S62" s="115"/>
      <c r="T62" s="115"/>
      <c r="U62" s="115"/>
      <c r="V62" s="115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  <c r="BI62" s="102"/>
      <c r="BJ62" s="102"/>
      <c r="BK62" s="102"/>
      <c r="BL62" s="102"/>
      <c r="BM62" s="102"/>
      <c r="BN62" s="102"/>
      <c r="BO62" s="102"/>
      <c r="BP62" s="102"/>
      <c r="BQ62" s="102"/>
      <c r="BR62" s="102"/>
      <c r="BS62" s="102"/>
      <c r="BT62" s="102"/>
      <c r="BU62" s="102"/>
      <c r="BV62" s="102"/>
      <c r="BW62" s="102"/>
      <c r="BX62" s="102"/>
      <c r="BY62" s="102"/>
      <c r="BZ62" s="102"/>
      <c r="CA62" s="102"/>
      <c r="CB62" s="102"/>
      <c r="CC62" s="102"/>
      <c r="CD62" s="102"/>
      <c r="CE62" s="102"/>
      <c r="CF62" s="102"/>
      <c r="CG62" s="102"/>
      <c r="CH62" s="102"/>
      <c r="CI62" s="102"/>
      <c r="CJ62" s="102"/>
      <c r="CK62" s="102"/>
      <c r="CL62" s="102"/>
      <c r="CM62" s="102"/>
      <c r="CN62" s="102"/>
      <c r="CO62" s="102"/>
      <c r="CP62" s="102"/>
      <c r="CQ62" s="102"/>
      <c r="CR62" s="102"/>
      <c r="CS62" s="102"/>
      <c r="CT62" s="102"/>
      <c r="CU62" s="102"/>
      <c r="CV62" s="102"/>
    </row>
    <row r="63" spans="1:100" ht="15.75" x14ac:dyDescent="0.15">
      <c r="A63" s="33"/>
      <c r="B63" s="36"/>
      <c r="C63" s="36"/>
      <c r="D63" s="36"/>
      <c r="E63" s="36"/>
      <c r="F63" s="36"/>
      <c r="G63" s="35"/>
      <c r="H63" s="113"/>
      <c r="I63" s="113"/>
      <c r="J63" s="113"/>
      <c r="K63" s="114"/>
      <c r="L63" s="113"/>
      <c r="M63" s="113"/>
      <c r="N63" s="113"/>
      <c r="O63" s="113"/>
      <c r="P63" s="113"/>
      <c r="Q63" s="115"/>
      <c r="R63" s="115"/>
      <c r="S63" s="115"/>
      <c r="T63" s="115"/>
      <c r="U63" s="115"/>
      <c r="V63" s="115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02"/>
      <c r="BZ63" s="102"/>
      <c r="CA63" s="102"/>
      <c r="CB63" s="102"/>
      <c r="CC63" s="102"/>
      <c r="CD63" s="102"/>
      <c r="CE63" s="102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2"/>
      <c r="CQ63" s="102"/>
      <c r="CR63" s="102"/>
      <c r="CS63" s="102"/>
      <c r="CT63" s="102"/>
      <c r="CU63" s="102"/>
      <c r="CV63" s="102"/>
    </row>
    <row r="64" spans="1:100" ht="15.75" x14ac:dyDescent="0.15">
      <c r="A64" s="33"/>
      <c r="B64" s="36"/>
      <c r="C64" s="36"/>
      <c r="D64" s="36"/>
      <c r="E64" s="36"/>
      <c r="F64" s="36"/>
      <c r="G64" s="35"/>
      <c r="H64" s="113"/>
      <c r="I64" s="113"/>
      <c r="J64" s="113"/>
      <c r="K64" s="114"/>
      <c r="L64" s="113"/>
      <c r="M64" s="113"/>
      <c r="N64" s="113"/>
      <c r="O64" s="113"/>
      <c r="P64" s="113"/>
      <c r="Q64" s="115"/>
      <c r="R64" s="115"/>
      <c r="S64" s="115"/>
      <c r="T64" s="115"/>
      <c r="U64" s="115"/>
      <c r="V64" s="115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02"/>
      <c r="BZ64" s="102"/>
      <c r="CA64" s="102"/>
      <c r="CB64" s="102"/>
      <c r="CC64" s="102"/>
      <c r="CD64" s="102"/>
      <c r="CE64" s="102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2"/>
      <c r="CQ64" s="102"/>
      <c r="CR64" s="102"/>
      <c r="CS64" s="102"/>
      <c r="CT64" s="102"/>
      <c r="CU64" s="102"/>
      <c r="CV64" s="102"/>
    </row>
    <row r="65" spans="1:100" ht="15.75" x14ac:dyDescent="0.15">
      <c r="A65" s="33"/>
      <c r="B65" s="36"/>
      <c r="C65" s="36"/>
      <c r="D65" s="36"/>
      <c r="E65" s="36"/>
      <c r="F65" s="36"/>
      <c r="G65" s="35"/>
      <c r="H65" s="113"/>
      <c r="I65" s="113"/>
      <c r="J65" s="113"/>
      <c r="K65" s="114"/>
      <c r="L65" s="113"/>
      <c r="M65" s="113"/>
      <c r="N65" s="113"/>
      <c r="O65" s="113"/>
      <c r="P65" s="113"/>
      <c r="Q65" s="115"/>
      <c r="R65" s="115"/>
      <c r="S65" s="115"/>
      <c r="T65" s="115"/>
      <c r="U65" s="115"/>
      <c r="V65" s="115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</row>
    <row r="66" spans="1:100" ht="15.75" x14ac:dyDescent="0.15">
      <c r="A66" s="33"/>
      <c r="B66" s="36"/>
      <c r="C66" s="36"/>
      <c r="D66" s="36"/>
      <c r="E66" s="36"/>
      <c r="F66" s="36"/>
      <c r="G66" s="35"/>
      <c r="H66" s="113"/>
      <c r="I66" s="113"/>
      <c r="J66" s="113"/>
      <c r="K66" s="114"/>
      <c r="L66" s="113"/>
      <c r="M66" s="113"/>
      <c r="N66" s="113"/>
      <c r="O66" s="113"/>
      <c r="P66" s="113"/>
      <c r="Q66" s="115"/>
      <c r="R66" s="115"/>
      <c r="S66" s="115"/>
      <c r="T66" s="115"/>
      <c r="U66" s="115"/>
      <c r="V66" s="115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02"/>
      <c r="BZ66" s="102"/>
      <c r="CA66" s="102"/>
      <c r="CB66" s="102"/>
      <c r="CC66" s="102"/>
      <c r="CD66" s="102"/>
      <c r="CE66" s="102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2"/>
      <c r="CQ66" s="102"/>
      <c r="CR66" s="102"/>
      <c r="CS66" s="102"/>
      <c r="CT66" s="102"/>
      <c r="CU66" s="102"/>
      <c r="CV66" s="102"/>
    </row>
    <row r="67" spans="1:100" ht="15.75" x14ac:dyDescent="0.15">
      <c r="A67" s="33"/>
      <c r="B67" s="36"/>
      <c r="C67" s="36"/>
      <c r="D67" s="36"/>
      <c r="E67" s="36"/>
      <c r="F67" s="36"/>
      <c r="G67" s="35"/>
      <c r="H67" s="113"/>
      <c r="I67" s="113"/>
      <c r="J67" s="113"/>
      <c r="K67" s="114"/>
      <c r="L67" s="113"/>
      <c r="M67" s="113"/>
      <c r="N67" s="113"/>
      <c r="O67" s="113"/>
      <c r="P67" s="113"/>
      <c r="Q67" s="115"/>
      <c r="R67" s="115"/>
      <c r="S67" s="115"/>
      <c r="T67" s="115"/>
      <c r="U67" s="115"/>
      <c r="V67" s="115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  <c r="BK67" s="102"/>
      <c r="BL67" s="102"/>
      <c r="BM67" s="102"/>
      <c r="BN67" s="102"/>
      <c r="BO67" s="102"/>
      <c r="BP67" s="102"/>
      <c r="BQ67" s="102"/>
      <c r="BR67" s="102"/>
      <c r="BS67" s="102"/>
      <c r="BT67" s="102"/>
      <c r="BU67" s="102"/>
      <c r="BV67" s="102"/>
      <c r="BW67" s="102"/>
      <c r="BX67" s="102"/>
      <c r="BY67" s="102"/>
      <c r="BZ67" s="102"/>
      <c r="CA67" s="102"/>
      <c r="CB67" s="102"/>
      <c r="CC67" s="102"/>
      <c r="CD67" s="102"/>
      <c r="CE67" s="102"/>
      <c r="CF67" s="102"/>
      <c r="CG67" s="102"/>
      <c r="CH67" s="102"/>
      <c r="CI67" s="102"/>
      <c r="CJ67" s="102"/>
      <c r="CK67" s="102"/>
      <c r="CL67" s="102"/>
      <c r="CM67" s="102"/>
      <c r="CN67" s="102"/>
      <c r="CO67" s="102"/>
      <c r="CP67" s="102"/>
      <c r="CQ67" s="102"/>
      <c r="CR67" s="102"/>
      <c r="CS67" s="102"/>
      <c r="CT67" s="102"/>
      <c r="CU67" s="102"/>
      <c r="CV67" s="102"/>
    </row>
    <row r="68" spans="1:100" ht="15.75" x14ac:dyDescent="0.15">
      <c r="A68" s="33"/>
      <c r="B68" s="36"/>
      <c r="C68" s="36"/>
      <c r="D68" s="36"/>
      <c r="E68" s="36"/>
      <c r="F68" s="36"/>
      <c r="G68" s="35"/>
      <c r="H68" s="113"/>
      <c r="I68" s="113"/>
      <c r="J68" s="113"/>
      <c r="K68" s="114"/>
      <c r="L68" s="113"/>
      <c r="M68" s="113"/>
      <c r="N68" s="113"/>
      <c r="O68" s="113"/>
      <c r="P68" s="113"/>
      <c r="Q68" s="115"/>
      <c r="R68" s="115"/>
      <c r="S68" s="115"/>
      <c r="T68" s="115"/>
      <c r="U68" s="115"/>
      <c r="V68" s="115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02"/>
      <c r="BZ68" s="102"/>
      <c r="CA68" s="102"/>
      <c r="CB68" s="102"/>
      <c r="CC68" s="102"/>
      <c r="CD68" s="102"/>
      <c r="CE68" s="102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2"/>
      <c r="CQ68" s="102"/>
      <c r="CR68" s="102"/>
      <c r="CS68" s="102"/>
      <c r="CT68" s="102"/>
      <c r="CU68" s="102"/>
      <c r="CV68" s="102"/>
    </row>
    <row r="69" spans="1:100" ht="15.75" x14ac:dyDescent="0.15">
      <c r="A69" s="33"/>
      <c r="B69" s="36"/>
      <c r="C69" s="36"/>
      <c r="D69" s="36"/>
      <c r="E69" s="36"/>
      <c r="F69" s="36"/>
      <c r="G69" s="35"/>
      <c r="H69" s="113"/>
      <c r="I69" s="113"/>
      <c r="J69" s="113"/>
      <c r="K69" s="114"/>
      <c r="L69" s="113"/>
      <c r="M69" s="113"/>
      <c r="N69" s="113"/>
      <c r="O69" s="113"/>
      <c r="P69" s="113"/>
      <c r="Q69" s="115"/>
      <c r="R69" s="115"/>
      <c r="S69" s="115"/>
      <c r="T69" s="115"/>
      <c r="U69" s="115"/>
      <c r="V69" s="115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  <c r="BK69" s="102"/>
      <c r="BL69" s="102"/>
      <c r="BM69" s="102"/>
      <c r="BN69" s="102"/>
      <c r="BO69" s="102"/>
      <c r="BP69" s="102"/>
      <c r="BQ69" s="102"/>
      <c r="BR69" s="102"/>
      <c r="BS69" s="102"/>
      <c r="BT69" s="102"/>
      <c r="BU69" s="102"/>
      <c r="BV69" s="102"/>
      <c r="BW69" s="102"/>
      <c r="BX69" s="102"/>
      <c r="BY69" s="102"/>
      <c r="BZ69" s="102"/>
      <c r="CA69" s="102"/>
      <c r="CB69" s="102"/>
      <c r="CC69" s="102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02"/>
      <c r="CU69" s="102"/>
      <c r="CV69" s="102"/>
    </row>
    <row r="70" spans="1:100" ht="15.75" x14ac:dyDescent="0.15">
      <c r="A70" s="33"/>
      <c r="B70" s="36"/>
      <c r="C70" s="36"/>
      <c r="D70" s="36"/>
      <c r="E70" s="36"/>
      <c r="F70" s="36"/>
      <c r="G70" s="35"/>
      <c r="H70" s="113"/>
      <c r="I70" s="113"/>
      <c r="J70" s="113"/>
      <c r="K70" s="114"/>
      <c r="L70" s="113"/>
      <c r="M70" s="113"/>
      <c r="N70" s="113"/>
      <c r="O70" s="113"/>
      <c r="P70" s="113"/>
      <c r="Q70" s="115"/>
      <c r="R70" s="115"/>
      <c r="S70" s="115"/>
      <c r="T70" s="115"/>
      <c r="U70" s="115"/>
      <c r="V70" s="115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  <c r="BK70" s="102"/>
      <c r="BL70" s="102"/>
      <c r="BM70" s="102"/>
      <c r="BN70" s="102"/>
      <c r="BO70" s="102"/>
      <c r="BP70" s="102"/>
      <c r="BQ70" s="102"/>
      <c r="BR70" s="102"/>
      <c r="BS70" s="102"/>
      <c r="BT70" s="102"/>
      <c r="BU70" s="102"/>
      <c r="BV70" s="102"/>
      <c r="BW70" s="102"/>
      <c r="BX70" s="102"/>
      <c r="BY70" s="102"/>
      <c r="BZ70" s="102"/>
      <c r="CA70" s="102"/>
      <c r="CB70" s="102"/>
      <c r="CC70" s="102"/>
      <c r="CD70" s="102"/>
      <c r="CE70" s="102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/>
      <c r="CS70" s="102"/>
      <c r="CT70" s="102"/>
      <c r="CU70" s="102"/>
      <c r="CV70" s="102"/>
    </row>
    <row r="71" spans="1:100" ht="15.75" x14ac:dyDescent="0.15">
      <c r="A71" s="33"/>
      <c r="B71" s="36"/>
      <c r="C71" s="36"/>
      <c r="D71" s="36"/>
      <c r="E71" s="36"/>
      <c r="F71" s="36"/>
      <c r="G71" s="35"/>
      <c r="H71" s="113"/>
      <c r="I71" s="113"/>
      <c r="J71" s="113"/>
      <c r="K71" s="114"/>
      <c r="L71" s="113"/>
      <c r="M71" s="113"/>
      <c r="N71" s="113"/>
      <c r="O71" s="113"/>
      <c r="P71" s="113"/>
      <c r="Q71" s="115"/>
      <c r="R71" s="115"/>
      <c r="S71" s="115"/>
      <c r="T71" s="115"/>
      <c r="U71" s="115"/>
      <c r="V71" s="115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02"/>
      <c r="BM71" s="102"/>
      <c r="BN71" s="102"/>
      <c r="BO71" s="102"/>
      <c r="BP71" s="102"/>
      <c r="BQ71" s="102"/>
      <c r="BR71" s="102"/>
      <c r="BS71" s="102"/>
      <c r="BT71" s="102"/>
      <c r="BU71" s="102"/>
      <c r="BV71" s="102"/>
      <c r="BW71" s="102"/>
      <c r="BX71" s="102"/>
      <c r="BY71" s="102"/>
      <c r="BZ71" s="102"/>
      <c r="CA71" s="102"/>
      <c r="CB71" s="102"/>
      <c r="CC71" s="102"/>
      <c r="CD71" s="102"/>
      <c r="CE71" s="102"/>
      <c r="CF71" s="102"/>
      <c r="CG71" s="102"/>
      <c r="CH71" s="102"/>
      <c r="CI71" s="102"/>
      <c r="CJ71" s="102"/>
      <c r="CK71" s="102"/>
      <c r="CL71" s="102"/>
      <c r="CM71" s="102"/>
      <c r="CN71" s="102"/>
      <c r="CO71" s="102"/>
      <c r="CP71" s="102"/>
      <c r="CQ71" s="102"/>
      <c r="CR71" s="102"/>
      <c r="CS71" s="102"/>
      <c r="CT71" s="102"/>
      <c r="CU71" s="102"/>
      <c r="CV71" s="102"/>
    </row>
    <row r="72" spans="1:100" ht="15.75" x14ac:dyDescent="0.15">
      <c r="A72" s="33"/>
      <c r="B72" s="36"/>
      <c r="C72" s="36"/>
      <c r="D72" s="36"/>
      <c r="E72" s="36"/>
      <c r="F72" s="36"/>
      <c r="G72" s="35"/>
      <c r="H72" s="113"/>
      <c r="I72" s="113"/>
      <c r="J72" s="113"/>
      <c r="K72" s="114"/>
      <c r="L72" s="113"/>
      <c r="M72" s="113"/>
      <c r="N72" s="113"/>
      <c r="O72" s="113"/>
      <c r="P72" s="113"/>
      <c r="Q72" s="115"/>
      <c r="R72" s="115"/>
      <c r="S72" s="115"/>
      <c r="T72" s="115"/>
      <c r="U72" s="115"/>
      <c r="V72" s="115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  <c r="BK72" s="102"/>
      <c r="BL72" s="102"/>
      <c r="BM72" s="102"/>
      <c r="BN72" s="102"/>
      <c r="BO72" s="102"/>
      <c r="BP72" s="102"/>
      <c r="BQ72" s="102"/>
      <c r="BR72" s="102"/>
      <c r="BS72" s="102"/>
      <c r="BT72" s="102"/>
      <c r="BU72" s="102"/>
      <c r="BV72" s="102"/>
      <c r="BW72" s="102"/>
      <c r="BX72" s="102"/>
      <c r="BY72" s="102"/>
      <c r="BZ72" s="102"/>
      <c r="CA72" s="102"/>
      <c r="CB72" s="102"/>
      <c r="CC72" s="102"/>
      <c r="CD72" s="102"/>
      <c r="CE72" s="102"/>
      <c r="CF72" s="102"/>
      <c r="CG72" s="102"/>
      <c r="CH72" s="102"/>
      <c r="CI72" s="102"/>
      <c r="CJ72" s="102"/>
      <c r="CK72" s="102"/>
      <c r="CL72" s="102"/>
      <c r="CM72" s="102"/>
      <c r="CN72" s="102"/>
      <c r="CO72" s="102"/>
      <c r="CP72" s="102"/>
      <c r="CQ72" s="102"/>
      <c r="CR72" s="102"/>
      <c r="CS72" s="102"/>
      <c r="CT72" s="102"/>
      <c r="CU72" s="102"/>
      <c r="CV72" s="102"/>
    </row>
    <row r="73" spans="1:100" ht="15.75" x14ac:dyDescent="0.15">
      <c r="A73" s="33"/>
      <c r="B73" s="36"/>
      <c r="C73" s="36"/>
      <c r="D73" s="36"/>
      <c r="E73" s="36"/>
      <c r="F73" s="36"/>
      <c r="G73" s="35"/>
      <c r="H73" s="113"/>
      <c r="I73" s="113"/>
      <c r="J73" s="113"/>
      <c r="K73" s="114"/>
      <c r="L73" s="113"/>
      <c r="M73" s="113"/>
      <c r="N73" s="113"/>
      <c r="O73" s="113"/>
      <c r="P73" s="113"/>
      <c r="Q73" s="115"/>
      <c r="R73" s="115"/>
      <c r="S73" s="115"/>
      <c r="T73" s="115"/>
      <c r="U73" s="115"/>
      <c r="V73" s="115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CT73" s="102"/>
      <c r="CU73" s="102"/>
      <c r="CV73" s="102"/>
    </row>
    <row r="74" spans="1:100" ht="15.75" x14ac:dyDescent="0.15">
      <c r="A74" s="33"/>
      <c r="B74" s="36"/>
      <c r="C74" s="36"/>
      <c r="D74" s="36"/>
      <c r="E74" s="36"/>
      <c r="F74" s="36"/>
      <c r="G74" s="35"/>
      <c r="H74" s="113"/>
      <c r="I74" s="113"/>
      <c r="J74" s="113"/>
      <c r="K74" s="114"/>
      <c r="L74" s="113"/>
      <c r="M74" s="113"/>
      <c r="N74" s="113"/>
      <c r="O74" s="113"/>
      <c r="P74" s="113"/>
      <c r="Q74" s="115"/>
      <c r="R74" s="115"/>
      <c r="S74" s="115"/>
      <c r="T74" s="115"/>
      <c r="U74" s="115"/>
      <c r="V74" s="115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  <c r="BI74" s="102"/>
      <c r="BJ74" s="102"/>
      <c r="BK74" s="102"/>
      <c r="BL74" s="102"/>
      <c r="BM74" s="102"/>
      <c r="BN74" s="102"/>
      <c r="BO74" s="102"/>
      <c r="BP74" s="102"/>
      <c r="BQ74" s="102"/>
      <c r="BR74" s="102"/>
      <c r="BS74" s="102"/>
      <c r="BT74" s="102"/>
      <c r="BU74" s="102"/>
      <c r="BV74" s="102"/>
      <c r="BW74" s="102"/>
      <c r="BX74" s="102"/>
      <c r="BY74" s="102"/>
      <c r="BZ74" s="102"/>
      <c r="CA74" s="102"/>
      <c r="CB74" s="102"/>
      <c r="CC74" s="102"/>
      <c r="CD74" s="102"/>
      <c r="CE74" s="102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2"/>
      <c r="CQ74" s="102"/>
      <c r="CR74" s="102"/>
      <c r="CS74" s="102"/>
      <c r="CT74" s="102"/>
      <c r="CU74" s="102"/>
      <c r="CV74" s="102"/>
    </row>
    <row r="75" spans="1:100" ht="15.75" x14ac:dyDescent="0.15">
      <c r="A75" s="33"/>
      <c r="B75" s="36"/>
      <c r="C75" s="36"/>
      <c r="D75" s="36"/>
      <c r="E75" s="36"/>
      <c r="F75" s="36"/>
      <c r="G75" s="35"/>
      <c r="H75" s="113"/>
      <c r="I75" s="113"/>
      <c r="J75" s="113"/>
      <c r="K75" s="114"/>
      <c r="L75" s="113"/>
      <c r="M75" s="113"/>
      <c r="N75" s="113"/>
      <c r="O75" s="113"/>
      <c r="P75" s="113"/>
      <c r="Q75" s="115"/>
      <c r="R75" s="115"/>
      <c r="S75" s="115"/>
      <c r="T75" s="115"/>
      <c r="U75" s="115"/>
      <c r="V75" s="115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  <c r="CB75" s="102"/>
      <c r="CC75" s="102"/>
      <c r="CD75" s="102"/>
      <c r="CE75" s="102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2"/>
      <c r="CQ75" s="102"/>
      <c r="CR75" s="102"/>
      <c r="CS75" s="102"/>
      <c r="CT75" s="102"/>
      <c r="CU75" s="102"/>
      <c r="CV75" s="102"/>
    </row>
    <row r="76" spans="1:100" ht="15.75" x14ac:dyDescent="0.15">
      <c r="A76" s="33"/>
      <c r="B76" s="36"/>
      <c r="C76" s="36"/>
      <c r="D76" s="36"/>
      <c r="E76" s="36"/>
      <c r="F76" s="36"/>
      <c r="G76" s="35"/>
      <c r="H76" s="113"/>
      <c r="I76" s="113"/>
      <c r="J76" s="113"/>
      <c r="K76" s="114"/>
      <c r="L76" s="113"/>
      <c r="M76" s="113"/>
      <c r="N76" s="113"/>
      <c r="O76" s="113"/>
      <c r="P76" s="113"/>
      <c r="Q76" s="115"/>
      <c r="R76" s="115"/>
      <c r="S76" s="115"/>
      <c r="T76" s="115"/>
      <c r="U76" s="115"/>
      <c r="V76" s="115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  <c r="CB76" s="102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CT76" s="102"/>
      <c r="CU76" s="102"/>
      <c r="CV76" s="102"/>
    </row>
    <row r="77" spans="1:100" ht="15.75" x14ac:dyDescent="0.15">
      <c r="A77" s="33"/>
      <c r="B77" s="36"/>
      <c r="C77" s="36"/>
      <c r="D77" s="36"/>
      <c r="E77" s="36"/>
      <c r="F77" s="36"/>
      <c r="G77" s="35"/>
      <c r="H77" s="113"/>
      <c r="I77" s="113"/>
      <c r="J77" s="113"/>
      <c r="K77" s="114"/>
      <c r="L77" s="113"/>
      <c r="M77" s="113"/>
      <c r="N77" s="113"/>
      <c r="O77" s="113"/>
      <c r="P77" s="113"/>
      <c r="Q77" s="115"/>
      <c r="R77" s="115"/>
      <c r="S77" s="115"/>
      <c r="T77" s="115"/>
      <c r="U77" s="115"/>
      <c r="V77" s="115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2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</row>
    <row r="78" spans="1:100" ht="15.75" x14ac:dyDescent="0.15">
      <c r="A78" s="33"/>
      <c r="B78" s="36"/>
      <c r="C78" s="36"/>
      <c r="D78" s="36"/>
      <c r="E78" s="36"/>
      <c r="F78" s="36"/>
      <c r="G78" s="35"/>
      <c r="H78" s="113"/>
      <c r="I78" s="113"/>
      <c r="J78" s="113"/>
      <c r="K78" s="114"/>
      <c r="L78" s="113"/>
      <c r="M78" s="113"/>
      <c r="N78" s="113"/>
      <c r="O78" s="113"/>
      <c r="P78" s="113"/>
      <c r="Q78" s="115"/>
      <c r="R78" s="115"/>
      <c r="S78" s="115"/>
      <c r="T78" s="115"/>
      <c r="U78" s="115"/>
      <c r="V78" s="115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</row>
    <row r="79" spans="1:100" ht="15.75" x14ac:dyDescent="0.15">
      <c r="A79" s="33"/>
      <c r="B79" s="36"/>
      <c r="C79" s="36"/>
      <c r="D79" s="36"/>
      <c r="E79" s="36"/>
      <c r="F79" s="36"/>
      <c r="G79" s="35"/>
      <c r="H79" s="113"/>
      <c r="I79" s="113"/>
      <c r="J79" s="113"/>
      <c r="K79" s="114"/>
      <c r="L79" s="113"/>
      <c r="M79" s="113"/>
      <c r="N79" s="113"/>
      <c r="O79" s="113"/>
      <c r="P79" s="113"/>
      <c r="Q79" s="115"/>
      <c r="R79" s="115"/>
      <c r="S79" s="115"/>
      <c r="T79" s="115"/>
      <c r="U79" s="115"/>
      <c r="V79" s="115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</row>
    <row r="80" spans="1:100" ht="15.75" x14ac:dyDescent="0.15">
      <c r="A80" s="33"/>
      <c r="B80" s="36"/>
      <c r="C80" s="36"/>
      <c r="D80" s="36"/>
      <c r="E80" s="36"/>
      <c r="F80" s="36"/>
      <c r="G80" s="35"/>
      <c r="H80" s="113"/>
      <c r="I80" s="113"/>
      <c r="J80" s="113"/>
      <c r="K80" s="114"/>
      <c r="L80" s="113"/>
      <c r="M80" s="113"/>
      <c r="N80" s="113"/>
      <c r="O80" s="113"/>
      <c r="P80" s="113"/>
      <c r="Q80" s="115"/>
      <c r="R80" s="115"/>
      <c r="S80" s="115"/>
      <c r="T80" s="115"/>
      <c r="U80" s="115"/>
      <c r="V80" s="115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2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</row>
    <row r="81" spans="1:100" ht="15.75" x14ac:dyDescent="0.15">
      <c r="A81" s="33"/>
      <c r="B81" s="36"/>
      <c r="C81" s="36"/>
      <c r="D81" s="36"/>
      <c r="E81" s="36"/>
      <c r="F81" s="36"/>
      <c r="G81" s="35"/>
      <c r="H81" s="113"/>
      <c r="I81" s="113"/>
      <c r="J81" s="113"/>
      <c r="K81" s="114"/>
      <c r="L81" s="113"/>
      <c r="M81" s="113"/>
      <c r="N81" s="113"/>
      <c r="O81" s="113"/>
      <c r="P81" s="113"/>
      <c r="Q81" s="115"/>
      <c r="R81" s="115"/>
      <c r="S81" s="115"/>
      <c r="T81" s="115"/>
      <c r="U81" s="115"/>
      <c r="V81" s="115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</row>
    <row r="82" spans="1:100" ht="15.75" x14ac:dyDescent="0.15">
      <c r="A82" s="33"/>
      <c r="B82" s="36"/>
      <c r="C82" s="36"/>
      <c r="D82" s="36"/>
      <c r="E82" s="36"/>
      <c r="F82" s="36"/>
      <c r="G82" s="35"/>
      <c r="H82" s="113"/>
      <c r="I82" s="113"/>
      <c r="J82" s="113"/>
      <c r="K82" s="114"/>
      <c r="L82" s="113"/>
      <c r="M82" s="113"/>
      <c r="N82" s="113"/>
      <c r="O82" s="113"/>
      <c r="P82" s="113"/>
      <c r="Q82" s="115"/>
      <c r="R82" s="115"/>
      <c r="S82" s="115"/>
      <c r="T82" s="115"/>
      <c r="U82" s="115"/>
      <c r="V82" s="115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2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</row>
    <row r="83" spans="1:100" ht="15.75" x14ac:dyDescent="0.15">
      <c r="A83" s="33"/>
      <c r="B83" s="36"/>
      <c r="C83" s="36"/>
      <c r="D83" s="36"/>
      <c r="E83" s="36"/>
      <c r="F83" s="36"/>
      <c r="G83" s="35"/>
      <c r="H83" s="113"/>
      <c r="I83" s="113"/>
      <c r="J83" s="113"/>
      <c r="K83" s="114"/>
      <c r="L83" s="113"/>
      <c r="M83" s="113"/>
      <c r="N83" s="113"/>
      <c r="O83" s="113"/>
      <c r="P83" s="113"/>
      <c r="Q83" s="115"/>
      <c r="R83" s="115"/>
      <c r="S83" s="115"/>
      <c r="T83" s="115"/>
      <c r="U83" s="115"/>
      <c r="V83" s="115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2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</row>
    <row r="84" spans="1:100" ht="15.75" x14ac:dyDescent="0.15">
      <c r="A84" s="33"/>
      <c r="B84" s="36"/>
      <c r="C84" s="36"/>
      <c r="D84" s="36"/>
      <c r="E84" s="36"/>
      <c r="F84" s="36"/>
      <c r="G84" s="35"/>
      <c r="H84" s="113"/>
      <c r="I84" s="113"/>
      <c r="J84" s="113"/>
      <c r="K84" s="114"/>
      <c r="L84" s="113"/>
      <c r="M84" s="113"/>
      <c r="N84" s="113"/>
      <c r="O84" s="113"/>
      <c r="P84" s="113"/>
      <c r="Q84" s="115"/>
      <c r="R84" s="115"/>
      <c r="S84" s="115"/>
      <c r="T84" s="115"/>
      <c r="U84" s="115"/>
      <c r="V84" s="115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2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</row>
    <row r="85" spans="1:100" ht="15.75" x14ac:dyDescent="0.15">
      <c r="A85" s="33"/>
      <c r="B85" s="36"/>
      <c r="C85" s="36"/>
      <c r="D85" s="36"/>
      <c r="E85" s="36"/>
      <c r="F85" s="36"/>
      <c r="G85" s="35"/>
      <c r="H85" s="113"/>
      <c r="I85" s="113"/>
      <c r="J85" s="113"/>
      <c r="K85" s="114"/>
      <c r="L85" s="113"/>
      <c r="M85" s="113"/>
      <c r="N85" s="113"/>
      <c r="O85" s="113"/>
      <c r="P85" s="113"/>
      <c r="Q85" s="115"/>
      <c r="R85" s="115"/>
      <c r="S85" s="115"/>
      <c r="T85" s="115"/>
      <c r="U85" s="115"/>
      <c r="V85" s="115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</row>
    <row r="86" spans="1:100" ht="15.75" x14ac:dyDescent="0.15">
      <c r="A86" s="33"/>
      <c r="B86" s="36"/>
      <c r="C86" s="36"/>
      <c r="D86" s="36"/>
      <c r="E86" s="36"/>
      <c r="F86" s="36"/>
      <c r="G86" s="35"/>
      <c r="H86" s="113"/>
      <c r="I86" s="113"/>
      <c r="J86" s="113"/>
      <c r="K86" s="114"/>
      <c r="L86" s="113"/>
      <c r="M86" s="113"/>
      <c r="N86" s="113"/>
      <c r="O86" s="113"/>
      <c r="P86" s="113"/>
      <c r="Q86" s="115"/>
      <c r="R86" s="115"/>
      <c r="S86" s="115"/>
      <c r="T86" s="115"/>
      <c r="U86" s="115"/>
      <c r="V86" s="115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</row>
    <row r="87" spans="1:100" ht="15.75" x14ac:dyDescent="0.15">
      <c r="A87" s="33"/>
      <c r="B87" s="36"/>
      <c r="C87" s="36"/>
      <c r="D87" s="36"/>
      <c r="E87" s="36"/>
      <c r="F87" s="36"/>
      <c r="G87" s="35"/>
      <c r="H87" s="113"/>
      <c r="I87" s="113"/>
      <c r="J87" s="113"/>
      <c r="K87" s="114"/>
      <c r="L87" s="113"/>
      <c r="M87" s="113"/>
      <c r="N87" s="113"/>
      <c r="O87" s="113"/>
      <c r="P87" s="113"/>
      <c r="Q87" s="115"/>
      <c r="R87" s="115"/>
      <c r="S87" s="115"/>
      <c r="T87" s="115"/>
      <c r="U87" s="115"/>
      <c r="V87" s="115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2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</row>
    <row r="88" spans="1:100" ht="15.75" x14ac:dyDescent="0.15">
      <c r="A88" s="33"/>
      <c r="B88" s="36"/>
      <c r="C88" s="36"/>
      <c r="D88" s="36"/>
      <c r="E88" s="36"/>
      <c r="F88" s="36"/>
      <c r="G88" s="35"/>
      <c r="H88" s="113"/>
      <c r="I88" s="113"/>
      <c r="J88" s="113"/>
      <c r="K88" s="114"/>
      <c r="L88" s="113"/>
      <c r="M88" s="113"/>
      <c r="N88" s="113"/>
      <c r="O88" s="113"/>
      <c r="P88" s="113"/>
      <c r="Q88" s="115"/>
      <c r="R88" s="115"/>
      <c r="S88" s="115"/>
      <c r="T88" s="115"/>
      <c r="U88" s="115"/>
      <c r="V88" s="115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2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</row>
    <row r="89" spans="1:100" ht="15.75" x14ac:dyDescent="0.15">
      <c r="A89" s="33"/>
      <c r="B89" s="36"/>
      <c r="C89" s="36"/>
      <c r="D89" s="36"/>
      <c r="E89" s="36"/>
      <c r="F89" s="36"/>
      <c r="G89" s="35"/>
      <c r="H89" s="113"/>
      <c r="I89" s="113"/>
      <c r="J89" s="113"/>
      <c r="K89" s="114"/>
      <c r="L89" s="113"/>
      <c r="M89" s="113"/>
      <c r="N89" s="113"/>
      <c r="O89" s="113"/>
      <c r="P89" s="113"/>
      <c r="Q89" s="115"/>
      <c r="R89" s="115"/>
      <c r="S89" s="115"/>
      <c r="T89" s="115"/>
      <c r="U89" s="115"/>
      <c r="V89" s="115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2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</row>
    <row r="90" spans="1:100" ht="15.75" x14ac:dyDescent="0.15">
      <c r="A90" s="33"/>
      <c r="B90" s="36"/>
      <c r="C90" s="36"/>
      <c r="D90" s="36"/>
      <c r="E90" s="36"/>
      <c r="F90" s="36"/>
      <c r="G90" s="35"/>
      <c r="H90" s="113"/>
      <c r="I90" s="113"/>
      <c r="J90" s="113"/>
      <c r="K90" s="114"/>
      <c r="L90" s="113"/>
      <c r="M90" s="113"/>
      <c r="N90" s="113"/>
      <c r="O90" s="113"/>
      <c r="P90" s="113"/>
      <c r="Q90" s="115"/>
      <c r="R90" s="115"/>
      <c r="S90" s="115"/>
      <c r="T90" s="115"/>
      <c r="U90" s="115"/>
      <c r="V90" s="115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2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</row>
    <row r="91" spans="1:100" ht="15.75" x14ac:dyDescent="0.15">
      <c r="A91" s="33"/>
      <c r="B91" s="36"/>
      <c r="C91" s="36"/>
      <c r="D91" s="36"/>
      <c r="E91" s="36"/>
      <c r="F91" s="36"/>
      <c r="G91" s="35"/>
      <c r="H91" s="113"/>
      <c r="I91" s="113"/>
      <c r="J91" s="113"/>
      <c r="K91" s="114"/>
      <c r="L91" s="113"/>
      <c r="M91" s="113"/>
      <c r="N91" s="113"/>
      <c r="O91" s="113"/>
      <c r="P91" s="113"/>
      <c r="Q91" s="115"/>
      <c r="R91" s="115"/>
      <c r="S91" s="115"/>
      <c r="T91" s="115"/>
      <c r="U91" s="115"/>
      <c r="V91" s="115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2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</row>
    <row r="92" spans="1:100" ht="15.75" x14ac:dyDescent="0.15">
      <c r="A92" s="33"/>
      <c r="B92" s="36"/>
      <c r="C92" s="36"/>
      <c r="D92" s="36"/>
      <c r="E92" s="36"/>
      <c r="F92" s="36"/>
      <c r="G92" s="35"/>
      <c r="H92" s="113"/>
      <c r="I92" s="113"/>
      <c r="J92" s="113"/>
      <c r="K92" s="114"/>
      <c r="L92" s="113"/>
      <c r="M92" s="113"/>
      <c r="N92" s="113"/>
      <c r="O92" s="113"/>
      <c r="P92" s="113"/>
      <c r="Q92" s="115"/>
      <c r="R92" s="115"/>
      <c r="S92" s="115"/>
      <c r="T92" s="115"/>
      <c r="U92" s="115"/>
      <c r="V92" s="115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2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</row>
    <row r="93" spans="1:100" ht="15.75" x14ac:dyDescent="0.15">
      <c r="A93" s="33"/>
      <c r="B93" s="36"/>
      <c r="C93" s="36"/>
      <c r="D93" s="36"/>
      <c r="E93" s="36"/>
      <c r="F93" s="36"/>
      <c r="G93" s="35"/>
      <c r="H93" s="113"/>
      <c r="I93" s="113"/>
      <c r="J93" s="113"/>
      <c r="K93" s="114"/>
      <c r="L93" s="113"/>
      <c r="M93" s="113"/>
      <c r="N93" s="113"/>
      <c r="O93" s="113"/>
      <c r="P93" s="113"/>
      <c r="Q93" s="115"/>
      <c r="R93" s="115"/>
      <c r="S93" s="115"/>
      <c r="T93" s="115"/>
      <c r="U93" s="115"/>
      <c r="V93" s="115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2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</row>
    <row r="94" spans="1:100" ht="15.75" x14ac:dyDescent="0.15">
      <c r="A94" s="33"/>
      <c r="B94" s="36"/>
      <c r="C94" s="36"/>
      <c r="D94" s="36"/>
      <c r="E94" s="36"/>
      <c r="F94" s="36"/>
      <c r="G94" s="35"/>
      <c r="H94" s="113"/>
      <c r="I94" s="113"/>
      <c r="J94" s="113"/>
      <c r="K94" s="113"/>
      <c r="L94" s="113"/>
      <c r="M94" s="113"/>
      <c r="N94" s="113"/>
      <c r="O94" s="113"/>
      <c r="P94" s="113"/>
      <c r="Q94" s="115"/>
      <c r="R94" s="115"/>
      <c r="S94" s="115"/>
      <c r="T94" s="115"/>
      <c r="U94" s="115"/>
      <c r="V94" s="115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2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</row>
    <row r="95" spans="1:100" x14ac:dyDescent="0.15"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2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</row>
    <row r="96" spans="1:100" x14ac:dyDescent="0.15"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2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</row>
    <row r="97" spans="8:100" x14ac:dyDescent="0.15"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2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</row>
    <row r="98" spans="8:100" x14ac:dyDescent="0.15"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</row>
    <row r="99" spans="8:100" x14ac:dyDescent="0.15"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</row>
    <row r="100" spans="8:100" x14ac:dyDescent="0.15"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</row>
    <row r="101" spans="8:100" x14ac:dyDescent="0.15"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2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</row>
    <row r="102" spans="8:100" x14ac:dyDescent="0.15"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</row>
    <row r="103" spans="8:100" x14ac:dyDescent="0.15"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2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</row>
    <row r="104" spans="8:100" x14ac:dyDescent="0.15"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</row>
    <row r="105" spans="8:100" x14ac:dyDescent="0.15"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2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</row>
    <row r="106" spans="8:100" x14ac:dyDescent="0.15"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2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</row>
  </sheetData>
  <mergeCells count="17">
    <mergeCell ref="O6:U6"/>
    <mergeCell ref="V6:V7"/>
    <mergeCell ref="K1:P1"/>
    <mergeCell ref="Q1:V1"/>
    <mergeCell ref="A6:A7"/>
    <mergeCell ref="B6:B7"/>
    <mergeCell ref="C6:C7"/>
    <mergeCell ref="D6:D7"/>
    <mergeCell ref="E6:E7"/>
    <mergeCell ref="F6:F7"/>
    <mergeCell ref="G6:G7"/>
    <mergeCell ref="G1:J1"/>
    <mergeCell ref="G3:G4"/>
    <mergeCell ref="H3:H4"/>
    <mergeCell ref="I3:I4"/>
    <mergeCell ref="J3:J4"/>
    <mergeCell ref="H6:N6"/>
  </mergeCells>
  <phoneticPr fontId="12"/>
  <conditionalFormatting sqref="S95:S1000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9:P1000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16:L995">
    <cfRule type="expression" dxfId="7" priority="7" stopIfTrue="1">
      <formula>INDIRECT("L"&amp;ROW())="Fail"</formula>
    </cfRule>
  </conditionalFormatting>
  <conditionalFormatting sqref="G8:G995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8:I1000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8:L1000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19:N94 J33:J94 K94" xr:uid="{63BF5A5E-1CBE-48A3-99F8-277D0089275B}">
      <formula1>$F$2:$I$2</formula1>
    </dataValidation>
    <dataValidation type="list" allowBlank="1" showInputMessage="1" showErrorMessage="1" sqref="L8:L94 P9:P94 I8:I94" xr:uid="{9080B43F-3C5A-4367-BF09-34E2177FF6C7}">
      <formula1>$K$2:$N$2</formula1>
    </dataValidation>
    <dataValidation type="list" allowBlank="1" showInputMessage="1" showErrorMessage="1" sqref="G8:G94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AFF7A5-F3C1-400A-A7C8-AA75592902F2}">
  <ds:schemaRefs>
    <ds:schemaRef ds:uri="http://schemas.microsoft.com/office/2006/metadata/properties"/>
    <ds:schemaRef ds:uri="http://schemas.microsoft.com/office/infopath/2007/PartnerControls"/>
    <ds:schemaRef ds:uri="e1980118-7448-4ead-97fb-a856878e6ae4"/>
    <ds:schemaRef ds:uri="9ddc0750-edb1-4b91-b5bd-a8d23f10e42a"/>
    <ds:schemaRef ds:uri="38c55fcc-c670-4ac4-8a9b-264c271983b2"/>
  </ds:schemaRefs>
</ds:datastoreItem>
</file>

<file path=customXml/itemProps3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2025-09-19T09:42:39Z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