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nd\Downloads\"/>
    </mc:Choice>
  </mc:AlternateContent>
  <xr:revisionPtr revIDLastSave="0" documentId="8_{E2BCD83F-B23F-434C-A236-3C2800A8BEA9}" xr6:coauthVersionLast="47" xr6:coauthVersionMax="47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7" i="20" l="1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I12" i="20" s="1"/>
  <c r="H28" i="20"/>
  <c r="G28" i="20"/>
  <c r="F28" i="20"/>
  <c r="E28" i="20"/>
  <c r="D28" i="20"/>
  <c r="B35" i="20"/>
  <c r="B28" i="20"/>
  <c r="C37" i="20"/>
  <c r="C30" i="20"/>
  <c r="C22" i="20"/>
  <c r="C14" i="20"/>
  <c r="C36" i="20"/>
  <c r="C29" i="20"/>
  <c r="C21" i="20"/>
  <c r="C13" i="20"/>
  <c r="C35" i="20"/>
  <c r="H22" i="20" s="1"/>
  <c r="C28" i="20"/>
  <c r="C20" i="20"/>
  <c r="C12" i="20"/>
  <c r="V5" i="66"/>
  <c r="U5" i="66"/>
  <c r="S5" i="66"/>
  <c r="T5" i="66"/>
  <c r="R5" i="66"/>
  <c r="Q5" i="66"/>
  <c r="Y8" i="66"/>
  <c r="P5" i="66"/>
  <c r="O5" i="66"/>
  <c r="M5" i="66"/>
  <c r="N5" i="66"/>
  <c r="L5" i="66"/>
  <c r="K5" i="66"/>
  <c r="O8" i="66"/>
  <c r="V4" i="66"/>
  <c r="U4" i="66"/>
  <c r="S4" i="66"/>
  <c r="T4" i="66"/>
  <c r="R4" i="66"/>
  <c r="Q4" i="66"/>
  <c r="V8" i="66"/>
  <c r="P4" i="66"/>
  <c r="O4" i="66"/>
  <c r="M4" i="66"/>
  <c r="N4" i="66"/>
  <c r="L4" i="66"/>
  <c r="K4" i="66"/>
  <c r="L8" i="66"/>
  <c r="V3" i="66"/>
  <c r="U3" i="66"/>
  <c r="S3" i="66"/>
  <c r="T3" i="66"/>
  <c r="R3" i="66"/>
  <c r="Q3" i="66"/>
  <c r="S8" i="66"/>
  <c r="P3" i="66"/>
  <c r="O3" i="66"/>
  <c r="M3" i="66"/>
  <c r="N3" i="66"/>
  <c r="L3" i="66"/>
  <c r="K3" i="66"/>
  <c r="I8" i="66"/>
  <c r="F5" i="66"/>
  <c r="F4" i="66"/>
  <c r="F3" i="66"/>
  <c r="G14" i="20" l="1"/>
  <c r="Q12" i="20"/>
  <c r="N21" i="20"/>
  <c r="F14" i="20"/>
  <c r="M13" i="20"/>
  <c r="G20" i="20"/>
  <c r="O20" i="20"/>
  <c r="E13" i="20"/>
  <c r="K21" i="20"/>
  <c r="D12" i="20"/>
  <c r="H12" i="20"/>
  <c r="R20" i="20"/>
  <c r="H20" i="20"/>
  <c r="R22" i="20"/>
  <c r="R13" i="20"/>
  <c r="H14" i="20"/>
  <c r="P12" i="20"/>
  <c r="F20" i="20"/>
  <c r="N20" i="20"/>
  <c r="L13" i="20"/>
  <c r="J21" i="20"/>
  <c r="P14" i="20"/>
  <c r="F22" i="20"/>
  <c r="N22" i="20"/>
  <c r="X22" i="20" s="1"/>
  <c r="Q14" i="20"/>
  <c r="O22" i="20"/>
  <c r="M12" i="20"/>
  <c r="D13" i="20"/>
  <c r="K22" i="20"/>
  <c r="J12" i="20"/>
  <c r="P20" i="20"/>
  <c r="M4" i="20" s="1"/>
  <c r="F13" i="20"/>
  <c r="N13" i="20"/>
  <c r="D21" i="20"/>
  <c r="L21" i="20"/>
  <c r="J14" i="20"/>
  <c r="P22" i="20"/>
  <c r="R21" i="20"/>
  <c r="I14" i="20"/>
  <c r="G22" i="20"/>
  <c r="M20" i="20"/>
  <c r="H13" i="20"/>
  <c r="K12" i="20"/>
  <c r="Q20" i="20"/>
  <c r="G13" i="20"/>
  <c r="O13" i="20"/>
  <c r="E21" i="20"/>
  <c r="K14" i="20"/>
  <c r="I22" i="20"/>
  <c r="Q22" i="20"/>
  <c r="M14" i="20"/>
  <c r="I20" i="20"/>
  <c r="R12" i="20"/>
  <c r="H21" i="20"/>
  <c r="M22" i="20"/>
  <c r="O6" i="20" s="1"/>
  <c r="L12" i="20"/>
  <c r="J20" i="20"/>
  <c r="P13" i="20"/>
  <c r="F21" i="20"/>
  <c r="D14" i="20"/>
  <c r="L14" i="20"/>
  <c r="J22" i="20"/>
  <c r="O14" i="20"/>
  <c r="E12" i="20"/>
  <c r="K20" i="20"/>
  <c r="I13" i="20"/>
  <c r="I15" i="20" s="1"/>
  <c r="Q13" i="20"/>
  <c r="X13" i="20" s="1"/>
  <c r="G21" i="20"/>
  <c r="O21" i="20"/>
  <c r="E14" i="20"/>
  <c r="E6" i="20" s="1"/>
  <c r="R14" i="20"/>
  <c r="F12" i="20"/>
  <c r="F15" i="20" s="1"/>
  <c r="N12" i="20"/>
  <c r="D20" i="20"/>
  <c r="V20" i="20" s="1"/>
  <c r="L20" i="20"/>
  <c r="J13" i="20"/>
  <c r="T13" i="20" s="1"/>
  <c r="P21" i="20"/>
  <c r="N14" i="20"/>
  <c r="U14" i="20" s="1"/>
  <c r="D22" i="20"/>
  <c r="L22" i="20"/>
  <c r="N6" i="20" s="1"/>
  <c r="M21" i="20"/>
  <c r="G12" i="20"/>
  <c r="O12" i="20"/>
  <c r="O15" i="20" s="1"/>
  <c r="E20" i="20"/>
  <c r="K13" i="20"/>
  <c r="F5" i="20" s="1"/>
  <c r="I21" i="20"/>
  <c r="Q21" i="20"/>
  <c r="E22" i="20"/>
  <c r="S22" i="20" s="1"/>
  <c r="U13" i="20"/>
  <c r="G6" i="20"/>
  <c r="F4" i="20"/>
  <c r="V14" i="20"/>
  <c r="W14" i="20"/>
  <c r="S13" i="20"/>
  <c r="H5" i="20"/>
  <c r="O4" i="20"/>
  <c r="X20" i="20"/>
  <c r="V13" i="20"/>
  <c r="W13" i="20"/>
  <c r="D5" i="20"/>
  <c r="B3" i="66"/>
  <c r="B2" i="66"/>
  <c r="A15" i="66"/>
  <c r="A14" i="66"/>
  <c r="A13" i="66"/>
  <c r="A12" i="66"/>
  <c r="A10" i="66"/>
  <c r="A9" i="66"/>
  <c r="I3" i="66"/>
  <c r="H3" i="66"/>
  <c r="G3" i="66"/>
  <c r="L5" i="20" l="1"/>
  <c r="M6" i="20"/>
  <c r="V22" i="20"/>
  <c r="U22" i="20"/>
  <c r="S20" i="20"/>
  <c r="N23" i="20"/>
  <c r="K23" i="20"/>
  <c r="P23" i="20"/>
  <c r="O23" i="20"/>
  <c r="J15" i="20"/>
  <c r="G23" i="20"/>
  <c r="R15" i="20"/>
  <c r="H23" i="20"/>
  <c r="L4" i="20"/>
  <c r="E23" i="20"/>
  <c r="I23" i="20"/>
  <c r="Q23" i="20"/>
  <c r="R23" i="20"/>
  <c r="N4" i="20"/>
  <c r="L23" i="20"/>
  <c r="K15" i="20"/>
  <c r="M15" i="20"/>
  <c r="H15" i="20"/>
  <c r="S12" i="20"/>
  <c r="G15" i="20"/>
  <c r="K4" i="20"/>
  <c r="D23" i="20"/>
  <c r="F23" i="20"/>
  <c r="D15" i="20"/>
  <c r="Q15" i="20"/>
  <c r="D4" i="20"/>
  <c r="N15" i="20"/>
  <c r="J23" i="20"/>
  <c r="M23" i="20"/>
  <c r="P15" i="20"/>
  <c r="W20" i="20"/>
  <c r="E15" i="20"/>
  <c r="L15" i="20"/>
  <c r="K6" i="20"/>
  <c r="Q6" i="20" s="1"/>
  <c r="W22" i="20"/>
  <c r="X12" i="20"/>
  <c r="U12" i="20"/>
  <c r="U15" i="20" s="1"/>
  <c r="M5" i="20"/>
  <c r="H6" i="20"/>
  <c r="N5" i="20"/>
  <c r="W12" i="20"/>
  <c r="W15" i="20" s="1"/>
  <c r="U20" i="20"/>
  <c r="W21" i="20"/>
  <c r="L6" i="20"/>
  <c r="V21" i="20"/>
  <c r="V23" i="20" s="1"/>
  <c r="E5" i="20"/>
  <c r="I5" i="20" s="1"/>
  <c r="X21" i="20"/>
  <c r="X23" i="20" s="1"/>
  <c r="E4" i="20"/>
  <c r="F6" i="20"/>
  <c r="V12" i="20"/>
  <c r="V15" i="20" s="1"/>
  <c r="U21" i="20"/>
  <c r="S21" i="20"/>
  <c r="K5" i="20"/>
  <c r="T20" i="20"/>
  <c r="T22" i="20"/>
  <c r="T12" i="20"/>
  <c r="O5" i="20"/>
  <c r="H4" i="20"/>
  <c r="S14" i="20"/>
  <c r="G5" i="20"/>
  <c r="J5" i="20" s="1"/>
  <c r="G4" i="20"/>
  <c r="T21" i="20"/>
  <c r="X14" i="20"/>
  <c r="T14" i="20"/>
  <c r="D6" i="20"/>
  <c r="A11" i="66"/>
  <c r="J3" i="66"/>
  <c r="P4" i="20" l="1"/>
  <c r="S23" i="20"/>
  <c r="P6" i="20"/>
  <c r="W23" i="20"/>
  <c r="S15" i="20"/>
  <c r="Q4" i="20"/>
  <c r="U23" i="20"/>
  <c r="T23" i="20"/>
  <c r="X15" i="20"/>
  <c r="T15" i="20"/>
  <c r="P5" i="20"/>
  <c r="J6" i="20"/>
  <c r="I4" i="20"/>
  <c r="J4" i="20"/>
  <c r="Q5" i="20"/>
  <c r="I6" i="20"/>
</calcChain>
</file>

<file path=xl/sharedStrings.xml><?xml version="1.0" encoding="utf-8"?>
<sst xmlns="http://schemas.openxmlformats.org/spreadsheetml/2006/main" count="209" uniqueCount="76">
  <si>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</si>
  <si>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</si>
  <si>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</si>
  <si>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</si>
  <si>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</si>
  <si>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</si>
  <si>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</si>
  <si>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</si>
  <si>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</si>
  <si>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</si>
  <si>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</si>
  <si>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</si>
  <si>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</si>
  <si>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</si>
  <si>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</si>
  <si>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</si>
  <si>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</si>
  <si>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</si>
  <si>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</si>
  <si>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</si>
  <si>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</si>
  <si>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</si>
  <si>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</si>
  <si>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</si>
  <si>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</si>
  <si>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</si>
  <si>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</si>
  <si>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</si>
  <si>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</si>
  <si>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</si>
  <si>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Module 1</t>
    <phoneticPr fontId="12"/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</si>
  <si>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</si>
  <si>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</si>
  <si>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</si>
  <si>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</si>
  <si>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</si>
  <si>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</si>
  <si>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</si>
  <si>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</si>
  <si>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</si>
  <si>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</si>
  <si>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</si>
  <si>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</si>
  <si>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</si>
  <si>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</si>
  <si>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</si>
  <si>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Test result round 1</t>
    <phoneticPr fontId="12"/>
  </si>
  <si>
    <t>Test result round 2</t>
    <phoneticPr fontId="12"/>
  </si>
  <si>
    <t>BugID</t>
    <phoneticPr fontId="12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</si>
  <si>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</si>
  <si>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</si>
  <si>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</si>
  <si>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</si>
  <si>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</si>
  <si>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</si>
  <si>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General statistic</t>
  </si>
  <si>
    <t>% Coverage</t>
  </si>
  <si>
    <t>% Pass converage</t>
  </si>
  <si>
    <t>Round 2</t>
    <phoneticPr fontId="12"/>
  </si>
  <si>
    <t>Round base statistic</t>
  </si>
  <si>
    <t>Round1</t>
  </si>
  <si>
    <t>Test Result</t>
  </si>
  <si>
    <t>Normal</t>
    <phoneticPr fontId="12"/>
  </si>
  <si>
    <t>Low</t>
    <phoneticPr fontId="12"/>
  </si>
  <si>
    <t>Test coverage (%)</t>
  </si>
  <si>
    <t>Pass coverage (%)</t>
    <phoneticPr fontId="12"/>
  </si>
  <si>
    <t>Total:</t>
  </si>
  <si>
    <t>Round 1 in detail</t>
  </si>
  <si>
    <t>No</t>
  </si>
  <si>
    <t>Module/Function</t>
  </si>
  <si>
    <t>Total TC</t>
  </si>
  <si>
    <t>Creator</t>
  </si>
  <si>
    <t>Round 2 in detail</t>
    <phoneticPr fontId="12"/>
  </si>
  <si>
    <t>Chrome</t>
  </si>
  <si>
    <t>FireFox</t>
  </si>
  <si>
    <t>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</si>
</sst>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"/>
  </numFmts>
  <fonts count="20" x14ac:knownFonts="1">
    <font>
      <sz val="11"/>
      <color theme="1"/>
      <name val="ＭＳ Ｐゴシック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ＭＳ Ｐゴシック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28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3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76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76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76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176" fontId="11" fillId="6" borderId="3" xfId="0" applyNumberFormat="1" applyFont="1" applyFill="1" applyBorder="1" applyAlignment="1">
      <alignment horizontal="center" vertical="center" wrapText="1"/>
    </xf>
    <xf numFmtId="176" fontId="11" fillId="6" borderId="6" xfId="0" applyNumberFormat="1" applyFont="1" applyFill="1" applyBorder="1" applyAlignment="1">
      <alignment horizontal="center" vertical="center" wrapText="1"/>
    </xf>
    <xf numFmtId="176" fontId="11" fillId="6" borderId="7" xfId="0" applyNumberFormat="1" applyFont="1" applyFill="1" applyBorder="1" applyAlignment="1">
      <alignment horizontal="center" vertical="center" wrapText="1"/>
    </xf>
    <xf numFmtId="176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4" fillId="12" borderId="11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4" fillId="13" borderId="11" xfId="0" applyFont="1" applyFill="1" applyBorder="1" applyAlignment="1">
      <alignment horizontal="center" vertical="center" wrapText="1"/>
    </xf>
    <xf numFmtId="9" fontId="8" fillId="13" borderId="11" xfId="0" applyNumberFormat="1" applyFont="1" applyFill="1" applyBorder="1" applyAlignment="1">
      <alignment horizontal="center" vertical="center" wrapText="1"/>
    </xf>
    <xf numFmtId="0" fontId="13" fillId="14" borderId="11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9" fontId="8" fillId="14" borderId="11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center" vertical="center" wrapText="1"/>
    </xf>
    <xf numFmtId="0" fontId="14" fillId="16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 wrapText="1"/>
    </xf>
    <xf numFmtId="0" fontId="14" fillId="17" borderId="11" xfId="0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3" fillId="16" borderId="18" xfId="0" applyFont="1" applyFill="1" applyBorder="1" applyAlignment="1">
      <alignment horizontal="center" vertical="center" wrapText="1"/>
    </xf>
    <xf numFmtId="0" fontId="14" fillId="16" borderId="18" xfId="0" applyFont="1" applyFill="1" applyBorder="1" applyAlignment="1">
      <alignment horizontal="center" vertical="center" wrapText="1"/>
    </xf>
    <xf numFmtId="0" fontId="13" fillId="17" borderId="18" xfId="0" applyFont="1" applyFill="1" applyBorder="1" applyAlignment="1">
      <alignment horizontal="center" vertical="center" wrapText="1"/>
    </xf>
    <xf numFmtId="0" fontId="14" fillId="17" borderId="18" xfId="0" applyFont="1" applyFill="1" applyBorder="1" applyAlignment="1">
      <alignment horizontal="center" vertical="center" wrapText="1"/>
    </xf>
    <xf numFmtId="0" fontId="13" fillId="18" borderId="18" xfId="0" applyFont="1" applyFill="1" applyBorder="1" applyAlignment="1">
      <alignment horizontal="center" vertical="center" wrapText="1"/>
    </xf>
    <xf numFmtId="0" fontId="14" fillId="18" borderId="18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13" fillId="5" borderId="22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176" fontId="11" fillId="9" borderId="24" xfId="0" applyNumberFormat="1" applyFont="1" applyFill="1" applyBorder="1" applyAlignment="1">
      <alignment horizontal="center" vertical="center" wrapText="1"/>
    </xf>
    <xf numFmtId="0" fontId="4" fillId="7" borderId="24" xfId="0" applyFont="1" applyFill="1" applyBorder="1" applyAlignment="1">
      <alignment horizontal="right" vertical="center" wrapText="1"/>
    </xf>
    <xf numFmtId="0" fontId="4" fillId="7" borderId="24" xfId="0" applyFont="1" applyFill="1" applyBorder="1" applyAlignment="1">
      <alignment horizontal="center" vertical="center" wrapText="1"/>
    </xf>
    <xf numFmtId="9" fontId="4" fillId="7" borderId="24" xfId="0" applyNumberFormat="1" applyFont="1" applyFill="1" applyBorder="1" applyAlignment="1">
      <alignment horizontal="center" vertical="center" wrapText="1"/>
    </xf>
    <xf numFmtId="176" fontId="11" fillId="9" borderId="18" xfId="0" applyNumberFormat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right" vertical="center" wrapText="1"/>
    </xf>
    <xf numFmtId="0" fontId="4" fillId="7" borderId="18" xfId="0" applyFont="1" applyFill="1" applyBorder="1" applyAlignment="1">
      <alignment horizontal="center" vertical="center" wrapText="1"/>
    </xf>
    <xf numFmtId="9" fontId="4" fillId="7" borderId="18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vertical="center" wrapText="1"/>
    </xf>
    <xf numFmtId="14" fontId="4" fillId="0" borderId="11" xfId="0" applyNumberFormat="1" applyFont="1" applyFill="1" applyBorder="1" applyAlignment="1">
      <alignment vertical="center" wrapText="1"/>
    </xf>
    <xf numFmtId="0" fontId="0" fillId="0" borderId="11" xfId="0" applyFill="1" applyBorder="1" applyAlignment="1"/>
    <xf numFmtId="0" fontId="13" fillId="5" borderId="25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75" defaultRowHeight="15.75" x14ac:dyDescent="0.15"/>
  <cols>
    <col min="1" max="1" width="4.875" style="5" customWidth="1"/>
    <col min="2" max="2" width="16" style="5" customWidth="1"/>
    <col min="3" max="3" width="9" style="5" customWidth="1"/>
    <col min="4" max="4" width="22.375" style="5" customWidth="1"/>
    <col min="5" max="5" width="9.375" style="5" customWidth="1"/>
    <col min="6" max="6" width="18.625" style="5" customWidth="1"/>
    <col min="7" max="7" width="18.375" style="5" customWidth="1"/>
    <col min="8" max="8" width="12.875" style="5" customWidth="1"/>
    <col min="9" max="16384" width="8.875" style="5"/>
  </cols>
  <sheetData>
    <row r="1" spans="1:8" ht="39.75" customHeight="1" x14ac:dyDescent="0.15">
      <c r="A1" s="8"/>
      <c r="B1" s="7"/>
      <c r="C1" s="9"/>
      <c r="D1" s="12" t="s">
        <v>0</v>
      </c>
      <c r="E1" s="9"/>
      <c r="F1" s="9"/>
      <c r="G1" s="9"/>
      <c r="H1" s="6"/>
    </row>
    <row r="2" spans="1:8" x14ac:dyDescent="0.15">
      <c r="A2" s="8"/>
      <c r="B2" s="7"/>
      <c r="C2" s="9"/>
      <c r="D2" s="9"/>
      <c r="E2" s="9"/>
      <c r="F2" s="9"/>
      <c r="G2" s="9"/>
      <c r="H2" s="6"/>
    </row>
    <row r="3" spans="1:8" x14ac:dyDescent="0.15">
      <c r="A3" s="8"/>
      <c r="B3" s="41" t="s">
        <v>1</v>
      </c>
      <c r="C3" s="41"/>
      <c r="D3" s="21" t="s">
        <v>2</v>
      </c>
      <c r="E3" s="41" t="s">
        <v>3</v>
      </c>
      <c r="F3" s="41"/>
      <c r="G3" s="42" t="s">
        <v>4</v>
      </c>
      <c r="H3" s="43"/>
    </row>
    <row r="4" spans="1:8" x14ac:dyDescent="0.15">
      <c r="A4" s="8"/>
      <c r="B4" s="41" t="s">
        <v>5</v>
      </c>
      <c r="C4" s="41"/>
      <c r="D4" s="21" t="s">
        <v>6</v>
      </c>
      <c r="E4" s="41" t="s">
        <v>7</v>
      </c>
      <c r="F4" s="41"/>
      <c r="G4" s="44"/>
      <c r="H4" s="45"/>
    </row>
    <row r="5" spans="1:8" x14ac:dyDescent="0.15">
      <c r="A5" s="8"/>
      <c r="B5" s="7"/>
      <c r="C5" s="9"/>
      <c r="D5" s="9"/>
      <c r="E5" s="9"/>
      <c r="F5" s="9"/>
      <c r="G5" s="9"/>
      <c r="H5" s="6"/>
    </row>
    <row r="6" spans="1:8" x14ac:dyDescent="0.15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 x14ac:dyDescent="0.1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 x14ac:dyDescent="0.15">
      <c r="A8" s="8"/>
      <c r="B8" s="23"/>
      <c r="C8" s="24"/>
      <c r="D8" s="25"/>
      <c r="E8" s="26"/>
      <c r="F8" s="27"/>
      <c r="G8" s="23"/>
      <c r="H8" s="28"/>
    </row>
    <row r="9" spans="1:8" x14ac:dyDescent="0.15">
      <c r="A9" s="8"/>
      <c r="B9" s="29"/>
      <c r="C9" s="24"/>
      <c r="D9" s="25"/>
      <c r="E9" s="26"/>
      <c r="F9" s="27"/>
      <c r="G9" s="25"/>
      <c r="H9" s="28"/>
    </row>
    <row r="10" spans="1:8" x14ac:dyDescent="0.15">
      <c r="A10" s="8"/>
      <c r="B10" s="29"/>
      <c r="C10" s="24"/>
      <c r="D10" s="25"/>
      <c r="E10" s="26"/>
      <c r="F10" s="27"/>
      <c r="G10" s="25"/>
      <c r="H10" s="28"/>
    </row>
    <row r="11" spans="1:8" x14ac:dyDescent="0.15">
      <c r="A11" s="8"/>
      <c r="B11" s="29"/>
      <c r="C11" s="24"/>
      <c r="D11" s="25"/>
      <c r="E11" s="26"/>
      <c r="F11" s="27"/>
      <c r="G11" s="25"/>
      <c r="H11" s="28"/>
    </row>
    <row r="12" spans="1:8" x14ac:dyDescent="0.15">
      <c r="A12" s="8"/>
      <c r="B12" s="29"/>
      <c r="C12" s="24"/>
      <c r="D12" s="25"/>
      <c r="E12" s="26"/>
      <c r="F12" s="27"/>
      <c r="G12" s="25"/>
      <c r="H12" s="28"/>
    </row>
    <row r="13" spans="1:8" x14ac:dyDescent="0.15">
      <c r="A13" s="8"/>
      <c r="B13" s="29"/>
      <c r="C13" s="24"/>
      <c r="D13" s="25"/>
      <c r="E13" s="26"/>
      <c r="F13" s="27"/>
      <c r="G13" s="25"/>
      <c r="H13" s="28"/>
    </row>
    <row r="14" spans="1:8" x14ac:dyDescent="0.15">
      <c r="A14" s="8"/>
      <c r="B14" s="29"/>
      <c r="C14" s="24"/>
      <c r="D14" s="25"/>
      <c r="E14" s="26"/>
      <c r="F14" s="27"/>
      <c r="G14" s="25"/>
      <c r="H14" s="28"/>
    </row>
    <row r="15" spans="1:8" x14ac:dyDescent="0.15">
      <c r="A15" s="8"/>
      <c r="B15" s="29"/>
      <c r="C15" s="24"/>
      <c r="D15" s="25"/>
      <c r="E15" s="26"/>
      <c r="F15" s="27"/>
      <c r="G15" s="25"/>
      <c r="H15" s="28"/>
    </row>
    <row r="16" spans="1:8" x14ac:dyDescent="0.15">
      <c r="A16" s="8"/>
      <c r="B16" s="29"/>
      <c r="C16" s="24"/>
      <c r="D16" s="25"/>
      <c r="E16" s="26"/>
      <c r="F16" s="27"/>
      <c r="G16" s="25"/>
      <c r="H16" s="28"/>
    </row>
    <row r="17" spans="1:8" x14ac:dyDescent="0.15">
      <c r="A17" s="8"/>
      <c r="B17" s="29"/>
      <c r="C17" s="24"/>
      <c r="D17" s="25"/>
      <c r="E17" s="26"/>
      <c r="F17" s="27"/>
      <c r="G17" s="25"/>
      <c r="H17" s="28"/>
    </row>
    <row r="18" spans="1:8" x14ac:dyDescent="0.15">
      <c r="A18" s="8"/>
      <c r="B18" s="29"/>
      <c r="C18" s="24"/>
      <c r="D18" s="25"/>
      <c r="E18" s="26"/>
      <c r="F18" s="27"/>
      <c r="G18" s="25"/>
      <c r="H18" s="28"/>
    </row>
    <row r="19" spans="1:8" x14ac:dyDescent="0.15">
      <c r="A19" s="8"/>
      <c r="B19" s="8"/>
      <c r="C19" s="8"/>
      <c r="D19" s="8"/>
      <c r="E19" s="8"/>
      <c r="F19" s="8"/>
      <c r="G19" s="8"/>
      <c r="H19" s="6"/>
    </row>
    <row r="20" spans="1:8" x14ac:dyDescent="0.15">
      <c r="A20" s="8"/>
      <c r="B20" s="8"/>
      <c r="C20" s="8"/>
      <c r="D20" s="8"/>
      <c r="E20" s="8"/>
      <c r="F20" s="8"/>
      <c r="G20" s="8"/>
      <c r="H20" s="6"/>
    </row>
    <row r="21" spans="1:8" x14ac:dyDescent="0.15">
      <c r="A21" s="8"/>
      <c r="B21" s="8"/>
      <c r="C21" s="8"/>
      <c r="D21" s="8"/>
      <c r="E21" s="8"/>
      <c r="F21" s="8"/>
      <c r="G21" s="8"/>
      <c r="H21" s="6"/>
    </row>
    <row r="22" spans="1:8" x14ac:dyDescent="0.15">
      <c r="A22" s="8"/>
      <c r="B22" s="8"/>
      <c r="C22" s="8"/>
      <c r="D22" s="8"/>
      <c r="E22" s="8"/>
      <c r="F22" s="8"/>
      <c r="G22" s="8"/>
      <c r="H22" s="6"/>
    </row>
    <row r="23" spans="1:8" x14ac:dyDescent="0.15">
      <c r="A23" s="8"/>
      <c r="B23" s="8"/>
      <c r="C23" s="8"/>
      <c r="D23" s="8"/>
      <c r="E23" s="8"/>
      <c r="F23" s="8"/>
      <c r="G23" s="8"/>
      <c r="H23" s="6"/>
    </row>
    <row r="24" spans="1:8" x14ac:dyDescent="0.15">
      <c r="A24" s="8"/>
      <c r="B24" s="8"/>
      <c r="C24" s="8"/>
      <c r="D24" s="8"/>
      <c r="E24" s="8"/>
      <c r="F24" s="8"/>
      <c r="G24" s="8"/>
      <c r="H24" s="6"/>
    </row>
    <row r="25" spans="1:8" x14ac:dyDescent="0.15">
      <c r="A25" s="8"/>
      <c r="B25" s="8"/>
      <c r="C25" s="8"/>
      <c r="D25" s="8"/>
      <c r="E25" s="8"/>
      <c r="F25" s="8"/>
      <c r="G25" s="8"/>
      <c r="H25" s="6"/>
    </row>
    <row r="26" spans="1:8" x14ac:dyDescent="0.15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37"/>
  <sheetViews>
    <sheetView tabSelected="1" zoomScale="90" zoomScaleNormal="90" zoomScalePageLayoutView="180" workbookViewId="0">
      <selection activeCell="A32" sqref="A32:X37"/>
    </sheetView>
  </sheetViews>
  <sheetFormatPr defaultColWidth="8.625" defaultRowHeight="15.75" x14ac:dyDescent="0.15"/>
  <cols>
    <col min="1" max="1" width="4.625" style="13" customWidth="1"/>
    <col min="2" max="2" width="16.625" style="13" customWidth="1"/>
    <col min="3" max="3" width="13.625" style="13" customWidth="1"/>
    <col min="4" max="7" width="10.125" style="13" customWidth="1"/>
    <col min="8" max="8" width="10.125" style="14" customWidth="1"/>
    <col min="9" max="12" width="10.125" style="13" customWidth="1"/>
    <col min="13" max="13" width="10.125" style="14" customWidth="1"/>
    <col min="14" max="17" width="10.125" style="13" customWidth="1"/>
    <col min="18" max="19" width="8.625" style="14"/>
    <col min="20" max="25" width="8.625" style="13"/>
    <col min="26" max="26" width="4.625" style="13" customWidth="1"/>
    <col min="27" max="27" width="16.625" style="13" customWidth="1"/>
    <col min="28" max="28" width="13.625" style="13" customWidth="1"/>
    <col min="29" max="49" width="10.125" style="13" customWidth="1"/>
    <col min="50" max="16384" width="8.625" style="13"/>
  </cols>
  <sheetData>
    <row r="2" spans="1:24" x14ac:dyDescent="0.15">
      <c r="A2" s="55"/>
      <c r="B2" s="55"/>
      <c r="C2" s="67"/>
      <c r="D2" s="57" t="s">
        <v>17</v>
      </c>
      <c r="E2" s="57"/>
      <c r="F2" s="57"/>
      <c r="G2" s="57"/>
      <c r="H2" s="57"/>
      <c r="I2" s="57"/>
      <c r="J2" s="57"/>
      <c r="K2" s="57" t="s">
        <v>58</v>
      </c>
      <c r="L2" s="57"/>
      <c r="M2" s="57"/>
      <c r="N2" s="57"/>
      <c r="O2" s="57"/>
      <c r="P2" s="57"/>
      <c r="Q2" s="57"/>
    </row>
    <row r="3" spans="1:24" ht="31.5" x14ac:dyDescent="0.15">
      <c r="A3" s="68" t="s">
        <v>55</v>
      </c>
      <c r="B3" s="93"/>
      <c r="C3" s="66"/>
      <c r="D3" s="58" t="s">
        <v>18</v>
      </c>
      <c r="E3" s="58" t="s">
        <v>19</v>
      </c>
      <c r="F3" s="58" t="s">
        <v>20</v>
      </c>
      <c r="G3" s="58" t="s">
        <v>21</v>
      </c>
      <c r="H3" s="58" t="s">
        <v>22</v>
      </c>
      <c r="I3" s="58" t="s">
        <v>56</v>
      </c>
      <c r="J3" s="58" t="s">
        <v>57</v>
      </c>
      <c r="K3" s="58" t="s">
        <v>18</v>
      </c>
      <c r="L3" s="58" t="s">
        <v>19</v>
      </c>
      <c r="M3" s="58" t="s">
        <v>20</v>
      </c>
      <c r="N3" s="58" t="s">
        <v>21</v>
      </c>
      <c r="O3" s="58" t="s">
        <v>22</v>
      </c>
      <c r="P3" s="58" t="s">
        <v>56</v>
      </c>
      <c r="Q3" s="58" t="s">
        <v>57</v>
      </c>
    </row>
    <row r="4" spans="1:24" x14ac:dyDescent="0.15">
      <c r="A4" s="59" t="s">
        <v>23</v>
      </c>
      <c r="B4" s="94"/>
      <c r="C4" s="56" t="s">
        <v>73</v>
      </c>
      <c r="D4" s="60">
        <f>D12+I12+N12</f>
        <v>0</v>
      </c>
      <c r="E4" s="60">
        <f>E12+J12+O12</f>
        <v>0</v>
      </c>
      <c r="F4" s="60">
        <f>F12+K12+P12</f>
        <v>0</v>
      </c>
      <c r="G4" s="60">
        <f>G12+L12+Q12</f>
        <v>0</v>
      </c>
      <c r="H4" s="61">
        <f>H12+M12+R12</f>
        <v>3</v>
      </c>
      <c r="I4" s="62">
        <f>ROUND((D4+E4)*100/(H4-G4),2)</f>
        <v>0</v>
      </c>
      <c r="J4" s="62">
        <f>ROUND(D4*100/(H4-G4),2)</f>
        <v>0</v>
      </c>
      <c r="K4" s="63">
        <f>D20+I20+N20</f>
        <v>0</v>
      </c>
      <c r="L4" s="63">
        <f>E20+J20+O20</f>
        <v>0</v>
      </c>
      <c r="M4" s="63">
        <f>F20+K20+P20</f>
        <v>0</v>
      </c>
      <c r="N4" s="63">
        <f>G20+L20+Q20</f>
        <v>0</v>
      </c>
      <c r="O4" s="64">
        <f>H20+M20+R20</f>
        <v>3</v>
      </c>
      <c r="P4" s="65">
        <f>ROUND((K4+L4)*100/(O4-N4),2)</f>
        <v>0</v>
      </c>
      <c r="Q4" s="65">
        <f>ROUND(K4*100/(O4-N4),2)</f>
        <v>0</v>
      </c>
    </row>
    <row r="5" spans="1:24" x14ac:dyDescent="0.15">
      <c r="A5" s="59"/>
      <c r="B5" s="94"/>
      <c r="C5" s="56" t="s">
        <v>74</v>
      </c>
      <c r="D5" s="60">
        <f>D13+I13+N13</f>
        <v>0</v>
      </c>
      <c r="E5" s="60">
        <f>E13+J13+O13</f>
        <v>0</v>
      </c>
      <c r="F5" s="60">
        <f>F13+K13+P13</f>
        <v>0</v>
      </c>
      <c r="G5" s="60">
        <f>G13+L13+Q13</f>
        <v>0</v>
      </c>
      <c r="H5" s="61">
        <f>H13+M13+R13</f>
        <v>3</v>
      </c>
      <c r="I5" s="62">
        <f>ROUND((D5+E5)*100/(H5-G5),2)</f>
        <v>0</v>
      </c>
      <c r="J5" s="62">
        <f>ROUND(D5*100/(H5-G5),2)</f>
        <v>0</v>
      </c>
      <c r="K5" s="63">
        <f>D21+I21+N21</f>
        <v>0</v>
      </c>
      <c r="L5" s="63">
        <f>E21+J21+O21</f>
        <v>0</v>
      </c>
      <c r="M5" s="63">
        <f>F21+K21+P21</f>
        <v>0</v>
      </c>
      <c r="N5" s="63">
        <f>G21+L21+Q21</f>
        <v>0</v>
      </c>
      <c r="O5" s="64">
        <f>H21+M21+R21</f>
        <v>3</v>
      </c>
      <c r="P5" s="65">
        <f>ROUND((K5+L5)*100/(O5-N5),2)</f>
        <v>0</v>
      </c>
      <c r="Q5" s="65">
        <f>ROUND(K5*100/(O5-N5),2)</f>
        <v>0</v>
      </c>
    </row>
    <row r="6" spans="1:24" x14ac:dyDescent="0.15">
      <c r="A6" s="59"/>
      <c r="B6" s="94"/>
      <c r="C6" s="56" t="s">
        <v>75</v>
      </c>
      <c r="D6" s="60">
        <f>D14+I14+N14</f>
        <v>0</v>
      </c>
      <c r="E6" s="60">
        <f>E14+J14+O14</f>
        <v>0</v>
      </c>
      <c r="F6" s="60">
        <f>F14+K14+P14</f>
        <v>0</v>
      </c>
      <c r="G6" s="60">
        <f>G14+L14+Q14</f>
        <v>0</v>
      </c>
      <c r="H6" s="61">
        <f>H14+M14+R14</f>
        <v>3</v>
      </c>
      <c r="I6" s="62">
        <f>ROUND((D6+E6)*100/(H6-G6),2)</f>
        <v>0</v>
      </c>
      <c r="J6" s="62">
        <f>ROUND(D6*100/(H6-G6),2)</f>
        <v>0</v>
      </c>
      <c r="K6" s="63">
        <f>D22+I22+N22</f>
        <v>0</v>
      </c>
      <c r="L6" s="63">
        <f>E22+J22+O22</f>
        <v>0</v>
      </c>
      <c r="M6" s="63">
        <f>F22+K22+P22</f>
        <v>0</v>
      </c>
      <c r="N6" s="63">
        <f>G22+L22+Q22</f>
        <v>0</v>
      </c>
      <c r="O6" s="64">
        <f>H22+M22+R22</f>
        <v>3</v>
      </c>
      <c r="P6" s="65">
        <f>ROUND((K6+L6)*100/(O6-N6),2)</f>
        <v>0</v>
      </c>
      <c r="Q6" s="65">
        <f>ROUND(K6*100/(O6-N6),2)</f>
        <v>0</v>
      </c>
    </row>
    <row r="8" spans="1:24" x14ac:dyDescent="0.15">
      <c r="A8" s="54" t="s">
        <v>59</v>
      </c>
      <c r="B8" s="95"/>
    </row>
    <row r="9" spans="1:24" x14ac:dyDescent="0.15">
      <c r="A9" s="57" t="s">
        <v>60</v>
      </c>
      <c r="B9" s="57"/>
      <c r="C9" s="57"/>
      <c r="D9" s="57" t="s">
        <v>61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 t="s">
        <v>64</v>
      </c>
      <c r="T9" s="57"/>
      <c r="U9" s="57"/>
      <c r="V9" s="57" t="s">
        <v>65</v>
      </c>
      <c r="W9" s="57"/>
      <c r="X9" s="57"/>
    </row>
    <row r="10" spans="1:24" x14ac:dyDescent="0.15">
      <c r="A10" s="57"/>
      <c r="B10" s="57"/>
      <c r="C10" s="57"/>
      <c r="D10" s="57" t="s">
        <v>24</v>
      </c>
      <c r="E10" s="57"/>
      <c r="F10" s="57"/>
      <c r="G10" s="57"/>
      <c r="H10" s="57"/>
      <c r="I10" s="57" t="s">
        <v>62</v>
      </c>
      <c r="J10" s="57"/>
      <c r="K10" s="57"/>
      <c r="L10" s="57"/>
      <c r="M10" s="57"/>
      <c r="N10" s="57" t="s">
        <v>63</v>
      </c>
      <c r="O10" s="57"/>
      <c r="P10" s="57"/>
      <c r="Q10" s="57"/>
      <c r="R10" s="57"/>
      <c r="S10" s="57" t="s">
        <v>24</v>
      </c>
      <c r="T10" s="57" t="s">
        <v>25</v>
      </c>
      <c r="U10" s="57" t="s">
        <v>26</v>
      </c>
      <c r="V10" s="57" t="s">
        <v>24</v>
      </c>
      <c r="W10" s="57" t="s">
        <v>25</v>
      </c>
      <c r="X10" s="57" t="s">
        <v>26</v>
      </c>
    </row>
    <row r="11" spans="1:24" x14ac:dyDescent="0.15">
      <c r="A11" s="57"/>
      <c r="B11" s="57"/>
      <c r="C11" s="57"/>
      <c r="D11" s="58" t="s">
        <v>18</v>
      </c>
      <c r="E11" s="58" t="s">
        <v>19</v>
      </c>
      <c r="F11" s="58" t="s">
        <v>20</v>
      </c>
      <c r="G11" s="58" t="s">
        <v>21</v>
      </c>
      <c r="H11" s="58" t="s">
        <v>22</v>
      </c>
      <c r="I11" s="58" t="s">
        <v>18</v>
      </c>
      <c r="J11" s="58" t="s">
        <v>19</v>
      </c>
      <c r="K11" s="58" t="s">
        <v>20</v>
      </c>
      <c r="L11" s="58" t="s">
        <v>21</v>
      </c>
      <c r="M11" s="58" t="s">
        <v>22</v>
      </c>
      <c r="N11" s="58" t="s">
        <v>18</v>
      </c>
      <c r="O11" s="58" t="s">
        <v>19</v>
      </c>
      <c r="P11" s="58" t="s">
        <v>20</v>
      </c>
      <c r="Q11" s="58" t="s">
        <v>21</v>
      </c>
      <c r="R11" s="58" t="s">
        <v>22</v>
      </c>
      <c r="S11" s="57"/>
      <c r="T11" s="57"/>
      <c r="U11" s="57"/>
      <c r="V11" s="57"/>
      <c r="W11" s="57"/>
      <c r="X11" s="57"/>
    </row>
    <row r="12" spans="1:24" x14ac:dyDescent="0.15">
      <c r="A12" s="59" t="s">
        <v>23</v>
      </c>
      <c r="B12" s="94"/>
      <c r="C12" s="56" t="str">
        <f>C4</f>
        <v>Chrome</v>
      </c>
      <c r="D12" s="69">
        <f>SUMIF(C28:C30,C12,D28:D30)</f>
        <v>0</v>
      </c>
      <c r="E12" s="69">
        <f>SUMIF(C28:C30,C12,E28:E30)</f>
        <v>0</v>
      </c>
      <c r="F12" s="69">
        <f>SUMIF(C28:C30,C12,F28:F30)</f>
        <v>0</v>
      </c>
      <c r="G12" s="69">
        <f>SUMIF(C28:C30,C12,G28:G30)</f>
        <v>0</v>
      </c>
      <c r="H12" s="70">
        <f>SUMIF(C28:C30,C12,H28:H30)</f>
        <v>1</v>
      </c>
      <c r="I12" s="71">
        <f>SUMIF(C28:C30,C12,I28:I30)</f>
        <v>0</v>
      </c>
      <c r="J12" s="71">
        <f>SUMIF(C28:C30,C12,J28:J30)</f>
        <v>0</v>
      </c>
      <c r="K12" s="71">
        <f>SUMIF(C28:C30,C12,K28:K30)</f>
        <v>0</v>
      </c>
      <c r="L12" s="71">
        <f>SUMIF(C28:C30,C12,L28:L30)</f>
        <v>0</v>
      </c>
      <c r="M12" s="72">
        <f>SUMIF(C28:C30,C12,M28:M30)</f>
        <v>1</v>
      </c>
      <c r="N12" s="73">
        <f>SUMIF(C28:C30,C12,N28:N30)</f>
        <v>0</v>
      </c>
      <c r="O12" s="73">
        <f>SUMIF(C28:C30,C12,O28:O30)</f>
        <v>0</v>
      </c>
      <c r="P12" s="73">
        <f>SUMIF(C28:C30,C12,P28:P30)</f>
        <v>0</v>
      </c>
      <c r="Q12" s="73">
        <f>SUMIF(C28:C30,C12,Q28:Q30)</f>
        <v>0</v>
      </c>
      <c r="R12" s="74">
        <f>SUMIF(C28:C30,C12,R28:R30)</f>
        <v>1</v>
      </c>
      <c r="S12" s="75">
        <f>ROUND((D12+E12)*100/(H12-G12),2)</f>
        <v>0</v>
      </c>
      <c r="T12" s="56">
        <f>ROUND((I12+J12)*100/(M12-L12),2)</f>
        <v>0</v>
      </c>
      <c r="U12" s="56">
        <f>ROUND((N12+O12)*100/(R12-Q12),2)</f>
        <v>0</v>
      </c>
      <c r="V12" s="75">
        <f>ROUND(D12*100/(H12-G12),2)</f>
        <v>0</v>
      </c>
      <c r="W12" s="56">
        <f>ROUND(I12*100/(M12-L12),2)</f>
        <v>0</v>
      </c>
      <c r="X12" s="56">
        <f>ROUND(N12*100/(R12-Q12),2)</f>
        <v>0</v>
      </c>
    </row>
    <row r="13" spans="1:24" x14ac:dyDescent="0.15">
      <c r="A13" s="59"/>
      <c r="B13" s="94"/>
      <c r="C13" s="56" t="str">
        <f>C5</f>
        <v>FireFox</v>
      </c>
      <c r="D13" s="69">
        <f>SUMIF(C28:C30,C13,D28:D30)</f>
        <v>0</v>
      </c>
      <c r="E13" s="69">
        <f>SUMIF(C28:C30,C13,E28:E30)</f>
        <v>0</v>
      </c>
      <c r="F13" s="69">
        <f>SUMIF(C28:C30,C13,F28:F30)</f>
        <v>0</v>
      </c>
      <c r="G13" s="69">
        <f>SUMIF(C28:C30,C13,G28:G30)</f>
        <v>0</v>
      </c>
      <c r="H13" s="70">
        <f>SUMIF(C28:C30,C13,H28:H30)</f>
        <v>1</v>
      </c>
      <c r="I13" s="71">
        <f>SUMIF(C28:C30,C13,I28:I30)</f>
        <v>0</v>
      </c>
      <c r="J13" s="71">
        <f>SUMIF(C28:C30,C13,J28:J30)</f>
        <v>0</v>
      </c>
      <c r="K13" s="71">
        <f>SUMIF(C28:C30,C13,K28:K30)</f>
        <v>0</v>
      </c>
      <c r="L13" s="71">
        <f>SUMIF(C28:C30,C13,L28:L30)</f>
        <v>0</v>
      </c>
      <c r="M13" s="72">
        <f>SUMIF(C28:C30,C13,M28:M30)</f>
        <v>1</v>
      </c>
      <c r="N13" s="73">
        <f>SUMIF(C28:C30,C13,N28:N30)</f>
        <v>0</v>
      </c>
      <c r="O13" s="73">
        <f>SUMIF(C28:C30,C13,O28:O30)</f>
        <v>0</v>
      </c>
      <c r="P13" s="73">
        <f>SUMIF(C28:C30,C13,P28:P30)</f>
        <v>0</v>
      </c>
      <c r="Q13" s="73">
        <f>SUMIF(C28:C30,C13,Q28:Q30)</f>
        <v>0</v>
      </c>
      <c r="R13" s="74">
        <f>SUMIF(C28:C30,C13,R28:R30)</f>
        <v>1</v>
      </c>
      <c r="S13" s="75">
        <f>ROUND((D13+E13)*100/(H13-G13),2)</f>
        <v>0</v>
      </c>
      <c r="T13" s="56">
        <f>ROUND((I13+J13)*100/(M13-L13),2)</f>
        <v>0</v>
      </c>
      <c r="U13" s="56">
        <f>ROUND((N13+O13)*100/(R13-Q13),2)</f>
        <v>0</v>
      </c>
      <c r="V13" s="75">
        <f>ROUND(D13*100/(H13-G13),2)</f>
        <v>0</v>
      </c>
      <c r="W13" s="56">
        <f>ROUND(I13*100/(M13-L13),2)</f>
        <v>0</v>
      </c>
      <c r="X13" s="56">
        <f>ROUND(N13*100/(R13-Q13),2)</f>
        <v>0</v>
      </c>
    </row>
    <row r="14" spans="1:24" x14ac:dyDescent="0.15">
      <c r="A14" s="59"/>
      <c r="B14" s="94"/>
      <c r="C14" s="56" t="str">
        <f>C6</f>
        <v>Edge</v>
      </c>
      <c r="D14" s="69">
        <f>SUMIF(C28:C30,C14,D28:D30)</f>
        <v>0</v>
      </c>
      <c r="E14" s="69">
        <f>SUMIF(C28:C30,C14,E28:E30)</f>
        <v>0</v>
      </c>
      <c r="F14" s="69">
        <f>SUMIF(C28:C30,C14,F28:F30)</f>
        <v>0</v>
      </c>
      <c r="G14" s="69">
        <f>SUMIF(C28:C30,C14,G28:G30)</f>
        <v>0</v>
      </c>
      <c r="H14" s="70">
        <f>SUMIF(C28:C30,C14,H28:H30)</f>
        <v>1</v>
      </c>
      <c r="I14" s="71">
        <f>SUMIF(C28:C30,C14,I28:I30)</f>
        <v>0</v>
      </c>
      <c r="J14" s="71">
        <f>SUMIF(C28:C30,C14,J28:J30)</f>
        <v>0</v>
      </c>
      <c r="K14" s="71">
        <f>SUMIF(C28:C30,C14,K28:K30)</f>
        <v>0</v>
      </c>
      <c r="L14" s="71">
        <f>SUMIF(C28:C30,C14,L28:L30)</f>
        <v>0</v>
      </c>
      <c r="M14" s="72">
        <f>SUMIF(C28:C30,C14,M28:M30)</f>
        <v>1</v>
      </c>
      <c r="N14" s="73">
        <f>SUMIF(C28:C30,C14,N28:N30)</f>
        <v>0</v>
      </c>
      <c r="O14" s="73">
        <f>SUMIF(C28:C30,C14,O28:O30)</f>
        <v>0</v>
      </c>
      <c r="P14" s="73">
        <f>SUMIF(C28:C30,C14,P28:P30)</f>
        <v>0</v>
      </c>
      <c r="Q14" s="73">
        <f>SUMIF(C28:C30,C14,Q28:Q30)</f>
        <v>0</v>
      </c>
      <c r="R14" s="74">
        <f>SUMIF(C28:C30,C14,R28:R30)</f>
        <v>1</v>
      </c>
      <c r="S14" s="75">
        <f>ROUND((D14+E14)*100/(H14-G14),2)</f>
        <v>0</v>
      </c>
      <c r="T14" s="56">
        <f>ROUND((I14+J14)*100/(M14-L14),2)</f>
        <v>0</v>
      </c>
      <c r="U14" s="56">
        <f>ROUND((N14+O14)*100/(R14-Q14),2)</f>
        <v>0</v>
      </c>
      <c r="V14" s="75">
        <f>ROUND(D14*100/(H14-G14),2)</f>
        <v>0</v>
      </c>
      <c r="W14" s="56">
        <f>ROUND(I14*100/(M14-L14),2)</f>
        <v>0</v>
      </c>
      <c r="X14" s="56">
        <f>ROUND(N14*100/(R14-Q14),2)</f>
        <v>0</v>
      </c>
    </row>
    <row r="15" spans="1:24" x14ac:dyDescent="0.15">
      <c r="A15" s="76" t="s">
        <v>66</v>
      </c>
      <c r="B15" s="76"/>
      <c r="C15" s="76"/>
      <c r="D15" s="77">
        <f>SUM(D12:D14)</f>
        <v>0</v>
      </c>
      <c r="E15" s="77">
        <f>SUM(E12:E14)</f>
        <v>0</v>
      </c>
      <c r="F15" s="77">
        <f>SUM(F12:F14)</f>
        <v>0</v>
      </c>
      <c r="G15" s="77">
        <f>SUM(G12:G14)</f>
        <v>0</v>
      </c>
      <c r="H15" s="77">
        <f>SUM(H12:H14)</f>
        <v>3</v>
      </c>
      <c r="I15" s="77">
        <f>SUM(I12:I14)</f>
        <v>0</v>
      </c>
      <c r="J15" s="77">
        <f>SUM(J12:J14)</f>
        <v>0</v>
      </c>
      <c r="K15" s="77">
        <f>SUM(K12:K14)</f>
        <v>0</v>
      </c>
      <c r="L15" s="77">
        <f>SUM(L12:L14)</f>
        <v>0</v>
      </c>
      <c r="M15" s="77">
        <f>SUM(M12:M14)</f>
        <v>3</v>
      </c>
      <c r="N15" s="77">
        <f>SUM(N12:N14)</f>
        <v>0</v>
      </c>
      <c r="O15" s="77">
        <f>SUM(O12:O14)</f>
        <v>0</v>
      </c>
      <c r="P15" s="77">
        <f>SUM(P12:P14)</f>
        <v>0</v>
      </c>
      <c r="Q15" s="77">
        <f>SUM(Q12:Q14)</f>
        <v>0</v>
      </c>
      <c r="R15" s="77">
        <f>SUM(R12:R14)</f>
        <v>3</v>
      </c>
      <c r="S15" s="77">
        <f>ROUND(AVERAGE(S12:S14),2)</f>
        <v>0</v>
      </c>
      <c r="T15" s="77">
        <f>ROUND(AVERAGE(T12:T14),2)</f>
        <v>0</v>
      </c>
      <c r="U15" s="77">
        <f>ROUND(AVERAGE(U12:U14),2)</f>
        <v>0</v>
      </c>
      <c r="V15" s="77">
        <f>ROUND(AVERAGE(V12:V14),2)</f>
        <v>0</v>
      </c>
      <c r="W15" s="77">
        <f>ROUND(AVERAGE(W12:W14),2)</f>
        <v>0</v>
      </c>
      <c r="X15" s="77">
        <f>ROUND(AVERAGE(X12:X14),2)</f>
        <v>0</v>
      </c>
    </row>
    <row r="17" spans="1:24" x14ac:dyDescent="0.15">
      <c r="A17" s="57" t="s">
        <v>58</v>
      </c>
      <c r="B17" s="57"/>
      <c r="C17" s="57"/>
      <c r="D17" s="57" t="s">
        <v>61</v>
      </c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 t="s">
        <v>64</v>
      </c>
      <c r="T17" s="57"/>
      <c r="U17" s="57"/>
      <c r="V17" s="57" t="s">
        <v>65</v>
      </c>
      <c r="W17" s="57"/>
      <c r="X17" s="57"/>
    </row>
    <row r="18" spans="1:24" x14ac:dyDescent="0.15">
      <c r="A18" s="57"/>
      <c r="B18" s="57"/>
      <c r="C18" s="57"/>
      <c r="D18" s="57" t="s">
        <v>24</v>
      </c>
      <c r="E18" s="57"/>
      <c r="F18" s="57"/>
      <c r="G18" s="57"/>
      <c r="H18" s="57"/>
      <c r="I18" s="57" t="s">
        <v>62</v>
      </c>
      <c r="J18" s="57"/>
      <c r="K18" s="57"/>
      <c r="L18" s="57"/>
      <c r="M18" s="57"/>
      <c r="N18" s="57" t="s">
        <v>63</v>
      </c>
      <c r="O18" s="57"/>
      <c r="P18" s="57"/>
      <c r="Q18" s="57"/>
      <c r="R18" s="57"/>
      <c r="S18" s="57" t="s">
        <v>24</v>
      </c>
      <c r="T18" s="57" t="s">
        <v>25</v>
      </c>
      <c r="U18" s="57" t="s">
        <v>26</v>
      </c>
      <c r="V18" s="57" t="s">
        <v>24</v>
      </c>
      <c r="W18" s="57" t="s">
        <v>25</v>
      </c>
      <c r="X18" s="57" t="s">
        <v>26</v>
      </c>
    </row>
    <row r="19" spans="1:24" x14ac:dyDescent="0.15">
      <c r="A19" s="57"/>
      <c r="B19" s="57"/>
      <c r="C19" s="57"/>
      <c r="D19" s="58" t="s">
        <v>18</v>
      </c>
      <c r="E19" s="58" t="s">
        <v>19</v>
      </c>
      <c r="F19" s="58" t="s">
        <v>20</v>
      </c>
      <c r="G19" s="58" t="s">
        <v>21</v>
      </c>
      <c r="H19" s="58" t="s">
        <v>22</v>
      </c>
      <c r="I19" s="58" t="s">
        <v>18</v>
      </c>
      <c r="J19" s="58" t="s">
        <v>19</v>
      </c>
      <c r="K19" s="58" t="s">
        <v>20</v>
      </c>
      <c r="L19" s="58" t="s">
        <v>21</v>
      </c>
      <c r="M19" s="58" t="s">
        <v>22</v>
      </c>
      <c r="N19" s="58" t="s">
        <v>18</v>
      </c>
      <c r="O19" s="58" t="s">
        <v>19</v>
      </c>
      <c r="P19" s="58" t="s">
        <v>20</v>
      </c>
      <c r="Q19" s="58" t="s">
        <v>21</v>
      </c>
      <c r="R19" s="58" t="s">
        <v>22</v>
      </c>
      <c r="S19" s="57"/>
      <c r="T19" s="57"/>
      <c r="U19" s="57"/>
      <c r="V19" s="57"/>
      <c r="W19" s="57"/>
      <c r="X19" s="57"/>
    </row>
    <row r="20" spans="1:24" x14ac:dyDescent="0.15">
      <c r="A20" s="59" t="s">
        <v>23</v>
      </c>
      <c r="B20" s="94"/>
      <c r="C20" s="56" t="str">
        <f>C4</f>
        <v>Chrome</v>
      </c>
      <c r="D20" s="69">
        <f>SUMIF(C35:C37,C20,D35:D37)</f>
        <v>0</v>
      </c>
      <c r="E20" s="69">
        <f>SUMIF(C35:C37,C20,E35:E37)</f>
        <v>0</v>
      </c>
      <c r="F20" s="69">
        <f>SUMIF(C35:C37,C20,F35:F37)</f>
        <v>0</v>
      </c>
      <c r="G20" s="69">
        <f>SUMIF(C35:C37,C20,G35:G37)</f>
        <v>0</v>
      </c>
      <c r="H20" s="70">
        <f>SUMIF(C35:C37,C20,H35:H37)</f>
        <v>1</v>
      </c>
      <c r="I20" s="71">
        <f>SUMIF(C35:C37,C20,I35:I37)</f>
        <v>0</v>
      </c>
      <c r="J20" s="71">
        <f>SUMIF(C35:C37,C20,J35:J37)</f>
        <v>0</v>
      </c>
      <c r="K20" s="71">
        <f>SUMIF(C35:C37,C20,K35:K37)</f>
        <v>0</v>
      </c>
      <c r="L20" s="71">
        <f>SUMIF(C35:C37,C20,L35:L37)</f>
        <v>0</v>
      </c>
      <c r="M20" s="72">
        <f>SUMIF(C35:C37,C20,M35:M37)</f>
        <v>1</v>
      </c>
      <c r="N20" s="73">
        <f>SUMIF(C35:C37,C20,N35:N37)</f>
        <v>0</v>
      </c>
      <c r="O20" s="73">
        <f>SUMIF(C35:C37,C20,O35:O37)</f>
        <v>0</v>
      </c>
      <c r="P20" s="73">
        <f>SUMIF(C35:C37,C20,P35:P37)</f>
        <v>0</v>
      </c>
      <c r="Q20" s="73">
        <f>SUMIF(C35:C37,C20,Q35:Q37)</f>
        <v>0</v>
      </c>
      <c r="R20" s="74">
        <f>SUMIF(C35:C37,C20,R35:R37)</f>
        <v>1</v>
      </c>
      <c r="S20" s="75">
        <f>ROUND((D20+E20)*100/(H20-G20),2)</f>
        <v>0</v>
      </c>
      <c r="T20" s="56">
        <f>ROUND((I20+J20)*100/(M20-L20),2)</f>
        <v>0</v>
      </c>
      <c r="U20" s="56">
        <f>ROUND((N20+O20)*100/(R20-Q20),2)</f>
        <v>0</v>
      </c>
      <c r="V20" s="75">
        <f>ROUND(D20*100/(H20-G20),2)</f>
        <v>0</v>
      </c>
      <c r="W20" s="56">
        <f>ROUND(I20*100/(M20-L20),2)</f>
        <v>0</v>
      </c>
      <c r="X20" s="56">
        <f>ROUND(N20*100/(R20-Q20),2)</f>
        <v>0</v>
      </c>
    </row>
    <row r="21" spans="1:24" x14ac:dyDescent="0.15">
      <c r="A21" s="59"/>
      <c r="B21" s="94"/>
      <c r="C21" s="56" t="str">
        <f>C5</f>
        <v>FireFox</v>
      </c>
      <c r="D21" s="69">
        <f>SUMIF(C35:C37,C21,D35:D37)</f>
        <v>0</v>
      </c>
      <c r="E21" s="69">
        <f>SUMIF(C35:C37,C21,E35:E37)</f>
        <v>0</v>
      </c>
      <c r="F21" s="69">
        <f>SUMIF(C35:C37,C21,F35:F37)</f>
        <v>0</v>
      </c>
      <c r="G21" s="69">
        <f>SUMIF(C35:C37,C21,G35:G37)</f>
        <v>0</v>
      </c>
      <c r="H21" s="70">
        <f>SUMIF(C35:C37,C21,H35:H37)</f>
        <v>1</v>
      </c>
      <c r="I21" s="71">
        <f>SUMIF(C35:C37,C21,I35:I37)</f>
        <v>0</v>
      </c>
      <c r="J21" s="71">
        <f>SUMIF(C35:C37,C21,J35:J37)</f>
        <v>0</v>
      </c>
      <c r="K21" s="71">
        <f>SUMIF(C35:C37,C21,K35:K37)</f>
        <v>0</v>
      </c>
      <c r="L21" s="71">
        <f>SUMIF(C35:C37,C21,L35:L37)</f>
        <v>0</v>
      </c>
      <c r="M21" s="72">
        <f>SUMIF(C35:C37,C21,M35:M37)</f>
        <v>1</v>
      </c>
      <c r="N21" s="73">
        <f>SUMIF(C35:C37,C21,N35:N37)</f>
        <v>0</v>
      </c>
      <c r="O21" s="73">
        <f>SUMIF(C35:C37,C21,O35:O37)</f>
        <v>0</v>
      </c>
      <c r="P21" s="73">
        <f>SUMIF(C35:C37,C21,P35:P37)</f>
        <v>0</v>
      </c>
      <c r="Q21" s="73">
        <f>SUMIF(C35:C37,C21,Q35:Q37)</f>
        <v>0</v>
      </c>
      <c r="R21" s="74">
        <f>SUMIF(C35:C37,C21,R35:R37)</f>
        <v>1</v>
      </c>
      <c r="S21" s="75">
        <f>ROUND((D21+E21)*100/(H21-G21),2)</f>
        <v>0</v>
      </c>
      <c r="T21" s="56">
        <f>ROUND((I21+J21)*100/(M21-L21),2)</f>
        <v>0</v>
      </c>
      <c r="U21" s="56">
        <f>ROUND((N21+O21)*100/(R21-Q21),2)</f>
        <v>0</v>
      </c>
      <c r="V21" s="75">
        <f>ROUND(D21*100/(H21-G21),2)</f>
        <v>0</v>
      </c>
      <c r="W21" s="56">
        <f>ROUND(I21*100/(M21-L21),2)</f>
        <v>0</v>
      </c>
      <c r="X21" s="56">
        <f>ROUND(N21*100/(R21-Q21),2)</f>
        <v>0</v>
      </c>
    </row>
    <row r="22" spans="1:24" x14ac:dyDescent="0.15">
      <c r="A22" s="59"/>
      <c r="B22" s="94"/>
      <c r="C22" s="56" t="str">
        <f>C6</f>
        <v>Edge</v>
      </c>
      <c r="D22" s="69">
        <f>SUMIF(C35:C37,C22,D35:D37)</f>
        <v>0</v>
      </c>
      <c r="E22" s="69">
        <f>SUMIF(C35:C37,C22,E35:E37)</f>
        <v>0</v>
      </c>
      <c r="F22" s="69">
        <f>SUMIF(C35:C37,C22,F35:F37)</f>
        <v>0</v>
      </c>
      <c r="G22" s="69">
        <f>SUMIF(C35:C37,C22,G35:G37)</f>
        <v>0</v>
      </c>
      <c r="H22" s="70">
        <f>SUMIF(C35:C37,C22,H35:H37)</f>
        <v>1</v>
      </c>
      <c r="I22" s="71">
        <f>SUMIF(C35:C37,C22,I35:I37)</f>
        <v>0</v>
      </c>
      <c r="J22" s="71">
        <f>SUMIF(C35:C37,C22,J35:J37)</f>
        <v>0</v>
      </c>
      <c r="K22" s="71">
        <f>SUMIF(C35:C37,C22,K35:K37)</f>
        <v>0</v>
      </c>
      <c r="L22" s="71">
        <f>SUMIF(C35:C37,C22,L35:L37)</f>
        <v>0</v>
      </c>
      <c r="M22" s="72">
        <f>SUMIF(C35:C37,C22,M35:M37)</f>
        <v>1</v>
      </c>
      <c r="N22" s="73">
        <f>SUMIF(C35:C37,C22,N35:N37)</f>
        <v>0</v>
      </c>
      <c r="O22" s="73">
        <f>SUMIF(C35:C37,C22,O35:O37)</f>
        <v>0</v>
      </c>
      <c r="P22" s="73">
        <f>SUMIF(C35:C37,C22,P35:P37)</f>
        <v>0</v>
      </c>
      <c r="Q22" s="73">
        <f>SUMIF(C35:C37,C22,Q35:Q37)</f>
        <v>0</v>
      </c>
      <c r="R22" s="74">
        <f>SUMIF(C35:C37,C22,R35:R37)</f>
        <v>1</v>
      </c>
      <c r="S22" s="75">
        <f>ROUND((D22+E22)*100/(H22-G22),2)</f>
        <v>0</v>
      </c>
      <c r="T22" s="56">
        <f>ROUND((I22+J22)*100/(M22-L22),2)</f>
        <v>0</v>
      </c>
      <c r="U22" s="56">
        <f>ROUND((N22+O22)*100/(R22-Q22),2)</f>
        <v>0</v>
      </c>
      <c r="V22" s="75">
        <f>ROUND(D22*100/(H22-G22),2)</f>
        <v>0</v>
      </c>
      <c r="W22" s="56">
        <f>ROUND(I22*100/(M22-L22),2)</f>
        <v>0</v>
      </c>
      <c r="X22" s="56">
        <f>ROUND(N22*100/(R22-Q22),2)</f>
        <v>0</v>
      </c>
    </row>
    <row r="23" spans="1:24" x14ac:dyDescent="0.15">
      <c r="A23" s="76" t="s">
        <v>66</v>
      </c>
      <c r="B23" s="76"/>
      <c r="C23" s="76"/>
      <c r="D23" s="77">
        <f>SUM(D20:D22)</f>
        <v>0</v>
      </c>
      <c r="E23" s="77">
        <f>SUM(E20:E22)</f>
        <v>0</v>
      </c>
      <c r="F23" s="77">
        <f>SUM(F20:F22)</f>
        <v>0</v>
      </c>
      <c r="G23" s="77">
        <f>SUM(G20:G22)</f>
        <v>0</v>
      </c>
      <c r="H23" s="77">
        <f>SUM(H20:H22)</f>
        <v>3</v>
      </c>
      <c r="I23" s="77">
        <f>SUM(I20:I22)</f>
        <v>0</v>
      </c>
      <c r="J23" s="77">
        <f>SUM(J20:J22)</f>
        <v>0</v>
      </c>
      <c r="K23" s="77">
        <f>SUM(K20:K22)</f>
        <v>0</v>
      </c>
      <c r="L23" s="77">
        <f>SUM(L20:L22)</f>
        <v>0</v>
      </c>
      <c r="M23" s="77">
        <f>SUM(M20:M22)</f>
        <v>3</v>
      </c>
      <c r="N23" s="77">
        <f>SUM(N20:N22)</f>
        <v>0</v>
      </c>
      <c r="O23" s="77">
        <f>SUM(O20:O22)</f>
        <v>0</v>
      </c>
      <c r="P23" s="77">
        <f>SUM(P20:P22)</f>
        <v>0</v>
      </c>
      <c r="Q23" s="77">
        <f>SUM(Q20:Q22)</f>
        <v>0</v>
      </c>
      <c r="R23" s="77">
        <f>SUM(R20:R22)</f>
        <v>3</v>
      </c>
      <c r="S23" s="77">
        <f>ROUND(AVERAGE(S20:S22),2)</f>
        <v>0</v>
      </c>
      <c r="T23" s="77">
        <f>ROUND(AVERAGE(T20:T22),2)</f>
        <v>0</v>
      </c>
      <c r="U23" s="77">
        <f>ROUND(AVERAGE(U20:U22),2)</f>
        <v>0</v>
      </c>
      <c r="V23" s="77">
        <f>ROUND(AVERAGE(V20:V22),2)</f>
        <v>0</v>
      </c>
      <c r="W23" s="77">
        <f>ROUND(AVERAGE(W20:W22),2)</f>
        <v>0</v>
      </c>
      <c r="X23" s="77">
        <f>ROUND(AVERAGE(X20:X22),2)</f>
        <v>0</v>
      </c>
    </row>
    <row r="25" spans="1:24" x14ac:dyDescent="0.15">
      <c r="A25" s="54" t="s">
        <v>67</v>
      </c>
      <c r="B25" s="95"/>
    </row>
    <row r="26" spans="1:24" x14ac:dyDescent="0.15">
      <c r="A26" s="96"/>
      <c r="B26" s="96"/>
      <c r="C26" s="92"/>
      <c r="D26" s="80" t="s">
        <v>24</v>
      </c>
      <c r="E26" s="80"/>
      <c r="F26" s="80"/>
      <c r="G26" s="80"/>
      <c r="H26" s="80"/>
      <c r="I26" s="80" t="s">
        <v>62</v>
      </c>
      <c r="J26" s="80"/>
      <c r="K26" s="80"/>
      <c r="L26" s="80"/>
      <c r="M26" s="80"/>
      <c r="N26" s="80" t="s">
        <v>63</v>
      </c>
      <c r="O26" s="80"/>
      <c r="P26" s="80"/>
      <c r="Q26" s="80"/>
      <c r="R26" s="80"/>
      <c r="S26" s="80" t="s">
        <v>70</v>
      </c>
      <c r="T26" s="80" t="s">
        <v>71</v>
      </c>
      <c r="U26" s="80" t="s">
        <v>27</v>
      </c>
      <c r="V26" s="80" t="s">
        <v>28</v>
      </c>
      <c r="W26" s="97"/>
      <c r="X26" s="98"/>
    </row>
    <row r="27" spans="1:24" x14ac:dyDescent="0.15">
      <c r="A27" s="81" t="s">
        <v>68</v>
      </c>
      <c r="B27" s="82" t="s">
        <v>69</v>
      </c>
      <c r="C27" s="82" t="s">
        <v>23</v>
      </c>
      <c r="D27" s="82" t="s">
        <v>18</v>
      </c>
      <c r="E27" s="82" t="s">
        <v>19</v>
      </c>
      <c r="F27" s="82" t="s">
        <v>20</v>
      </c>
      <c r="G27" s="82" t="s">
        <v>21</v>
      </c>
      <c r="H27" s="82" t="s">
        <v>22</v>
      </c>
      <c r="I27" s="82" t="s">
        <v>18</v>
      </c>
      <c r="J27" s="82" t="s">
        <v>19</v>
      </c>
      <c r="K27" s="82" t="s">
        <v>20</v>
      </c>
      <c r="L27" s="82" t="s">
        <v>21</v>
      </c>
      <c r="M27" s="82" t="s">
        <v>22</v>
      </c>
      <c r="N27" s="82" t="s">
        <v>18</v>
      </c>
      <c r="O27" s="82" t="s">
        <v>19</v>
      </c>
      <c r="P27" s="82" t="s">
        <v>20</v>
      </c>
      <c r="Q27" s="82" t="s">
        <v>21</v>
      </c>
      <c r="R27" s="82" t="s">
        <v>22</v>
      </c>
      <c r="S27" s="97"/>
      <c r="T27" s="97"/>
      <c r="U27" s="97"/>
      <c r="V27" s="97"/>
      <c r="W27" s="97"/>
      <c r="X27" s="98"/>
    </row>
    <row r="28" spans="1:24" x14ac:dyDescent="0.15">
      <c r="A28" s="121">
        <v>1</v>
      </c>
      <c r="B28" s="120" t="str">
        <f>'Module 1'!B1</f>
        <v>Module 1</v>
      </c>
      <c r="C28" s="79" t="str">
        <f>C4</f>
        <v>Chrome</v>
      </c>
      <c r="D28" s="83">
        <f>COUNTIFS('Module 1'!I9:I9999,"Pass",'Module 1'!G9:G9999,"High")</f>
        <v>0</v>
      </c>
      <c r="E28" s="83">
        <f>COUNTIFS('Module 1'!I9:I9999,"Fail",'Module 1'!G9:G9999,"High")</f>
        <v>0</v>
      </c>
      <c r="F28" s="83">
        <f>COUNTIFS('Module 1'!I9:I9999,"Untested",'Module 1'!G9:G9999,"High")</f>
        <v>0</v>
      </c>
      <c r="G28" s="83">
        <f>COUNTIFS('Module 1'!I9:I9999,"Rejected",'Module 1'!G9:G9999,"High")</f>
        <v>0</v>
      </c>
      <c r="H28" s="84">
        <f>'Module 1'!G3</f>
        <v>1</v>
      </c>
      <c r="I28" s="85">
        <f>COUNTIFS('Module 1'!I9:I9999,"Pass",'Module 1'!G9:G9999,"Normal")</f>
        <v>0</v>
      </c>
      <c r="J28" s="85">
        <f>COUNTIFS('Module 1'!I9:I9999,"Fail",'Module 1'!G9:G9999,"Normal")</f>
        <v>0</v>
      </c>
      <c r="K28" s="85">
        <f>COUNTIFS('Module 1'!I9:I9999,"Untested",'Module 1'!G9:G9999,"Normal")</f>
        <v>0</v>
      </c>
      <c r="L28" s="85">
        <f>COUNTIFS('Module 1'!I9:I9999,"Rejected",'Module 1'!G9:G9999,"Normal")</f>
        <v>0</v>
      </c>
      <c r="M28" s="86">
        <f>'Module 1'!H3</f>
        <v>1</v>
      </c>
      <c r="N28" s="87">
        <f>COUNTIFS('Module 1'!I9:I9999,"Pass",'Module 1'!G9:G9999,"Low")</f>
        <v>0</v>
      </c>
      <c r="O28" s="87">
        <f>COUNTIFS('Module 1'!I9:I9999,"Fail",'Module 1'!G9:G9999,"Low")</f>
        <v>0</v>
      </c>
      <c r="P28" s="87">
        <f>COUNTIFS('Module 1'!I9:I9999,"Untested",'Module 1'!G9:G9999,"Low")</f>
        <v>0</v>
      </c>
      <c r="Q28" s="87">
        <f>COUNTIFS('Module 1'!I9:I9999,"Rejected",'Module 1'!G9:G9999,"Low")</f>
        <v>0</v>
      </c>
      <c r="R28" s="88">
        <f>'Module 1'!I3</f>
        <v>1</v>
      </c>
      <c r="S28" s="89">
        <f>'Module 1'!J3</f>
        <v>3</v>
      </c>
      <c r="T28" s="79">
        <f>'Module 1'!D1</f>
        <v>0</v>
      </c>
      <c r="U28" s="79" t="str">
        <f>'Module 1'!J8</f>
        <v>Tester</v>
      </c>
      <c r="V28" s="117"/>
      <c r="W28" s="118"/>
      <c r="X28" s="119"/>
    </row>
    <row r="29" spans="1:24" x14ac:dyDescent="0.15">
      <c r="A29" s="122"/>
      <c r="B29" s="78"/>
      <c r="C29" s="79" t="str">
        <f>C5</f>
        <v>FireFox</v>
      </c>
      <c r="D29" s="83">
        <f>COUNTIFS('Module 1'!L9:L9999,"Pass",'Module 1'!G9:G9999,"High")</f>
        <v>0</v>
      </c>
      <c r="E29" s="83">
        <f>COUNTIFS('Module 1'!L9:L9999,"Fail",'Module 1'!G9:G9999,"High")</f>
        <v>0</v>
      </c>
      <c r="F29" s="83">
        <f>COUNTIFS('Module 1'!L9:L9999,"Untested",'Module 1'!G9:G9999,"High")</f>
        <v>0</v>
      </c>
      <c r="G29" s="83">
        <f>COUNTIFS('Module 1'!L9:L9999,"Rejected",'Module 1'!G9:G9999,"High")</f>
        <v>0</v>
      </c>
      <c r="H29" s="84">
        <f>'Module 1'!G3</f>
        <v>1</v>
      </c>
      <c r="I29" s="85">
        <f>COUNTIFS('Module 1'!L9:L9999,"Pass",'Module 1'!G9:G9999,"Normal")</f>
        <v>0</v>
      </c>
      <c r="J29" s="85">
        <f>COUNTIFS('Module 1'!L9:L9999,"Fail",'Module 1'!G9:G9999,"Normal")</f>
        <v>0</v>
      </c>
      <c r="K29" s="85">
        <f>COUNTIFS('Module 1'!L9:L9999,"Untested",'Module 1'!G9:G9999,"Normal")</f>
        <v>0</v>
      </c>
      <c r="L29" s="85">
        <f>COUNTIFS('Module 1'!L9:L9999,"Rejected",'Module 1'!G9:G9999,"Normal")</f>
        <v>0</v>
      </c>
      <c r="M29" s="86">
        <f>'Module 1'!H3</f>
        <v>1</v>
      </c>
      <c r="N29" s="87">
        <f>COUNTIFS('Module 1'!L9:L9999,"Pass",'Module 1'!G9:G9999,"Low")</f>
        <v>0</v>
      </c>
      <c r="O29" s="87">
        <f>COUNTIFS('Module 1'!L9:L9999,"Fail",'Module 1'!G9:G9999,"Low")</f>
        <v>0</v>
      </c>
      <c r="P29" s="87">
        <f>COUNTIFS('Module 1'!L9:L9999,"Untested",'Module 1'!G9:G9999,"Low")</f>
        <v>0</v>
      </c>
      <c r="Q29" s="87">
        <f>COUNTIFS('Module 1'!L9:L9999,"Rejected",'Module 1'!G9:G9999,"Low")</f>
        <v>0</v>
      </c>
      <c r="R29" s="88">
        <f>'Module 1'!I3</f>
        <v>1</v>
      </c>
      <c r="S29" s="89">
        <f>'Module 1'!J3</f>
        <v>3</v>
      </c>
      <c r="T29" s="79">
        <f>'Module 1'!D1</f>
        <v>0</v>
      </c>
      <c r="U29" s="79" t="str">
        <f>'Module 1'!J8</f>
        <v>Tester</v>
      </c>
      <c r="V29" s="117"/>
      <c r="W29" s="118"/>
      <c r="X29" s="119"/>
    </row>
    <row r="30" spans="1:24" x14ac:dyDescent="0.15">
      <c r="A30" s="90"/>
      <c r="B30" s="91"/>
      <c r="C30" s="79" t="str">
        <f>C6</f>
        <v>Edge</v>
      </c>
      <c r="D30" s="83">
        <f>COUNTIFS('Module 1'!O9:O9999,"Pass",'Module 1'!G9:G9999,"High")</f>
        <v>0</v>
      </c>
      <c r="E30" s="83">
        <f>COUNTIFS('Module 1'!O9:O9999,"Fail",'Module 1'!G9:G9999,"High")</f>
        <v>0</v>
      </c>
      <c r="F30" s="83">
        <f>COUNTIFS('Module 1'!O9:O9999,"Untested",'Module 1'!G9:G9999,"High")</f>
        <v>0</v>
      </c>
      <c r="G30" s="83">
        <f>COUNTIFS('Module 1'!O9:O9999,"Rejected",'Module 1'!G9:G9999,"High")</f>
        <v>0</v>
      </c>
      <c r="H30" s="84">
        <f>'Module 1'!G3</f>
        <v>1</v>
      </c>
      <c r="I30" s="85">
        <f>COUNTIFS('Module 1'!O9:O9999,"Pass",'Module 1'!G9:G9999,"Normal")</f>
        <v>0</v>
      </c>
      <c r="J30" s="85">
        <f>COUNTIFS('Module 1'!O9:O9999,"Fail",'Module 1'!G9:G9999,"Normal")</f>
        <v>0</v>
      </c>
      <c r="K30" s="85">
        <f>COUNTIFS('Module 1'!O9:O9999,"Untested",'Module 1'!G9:G9999,"Normal")</f>
        <v>0</v>
      </c>
      <c r="L30" s="85">
        <f>COUNTIFS('Module 1'!O9:O9999,"Rejected",'Module 1'!G9:G9999,"Normal")</f>
        <v>0</v>
      </c>
      <c r="M30" s="86">
        <f>'Module 1'!H3</f>
        <v>1</v>
      </c>
      <c r="N30" s="87">
        <f>COUNTIFS('Module 1'!O9:O9999,"Pass",'Module 1'!G9:G9999,"Low")</f>
        <v>0</v>
      </c>
      <c r="O30" s="87">
        <f>COUNTIFS('Module 1'!O9:O9999,"Fail",'Module 1'!G9:G9999,"Low")</f>
        <v>0</v>
      </c>
      <c r="P30" s="87">
        <f>COUNTIFS('Module 1'!O9:O9999,"Untested",'Module 1'!G9:G9999,"Low")</f>
        <v>0</v>
      </c>
      <c r="Q30" s="87">
        <f>COUNTIFS('Module 1'!O9:O9999,"Rejected",'Module 1'!G9:G9999,"Low")</f>
        <v>0</v>
      </c>
      <c r="R30" s="88">
        <f>'Module 1'!I3</f>
        <v>1</v>
      </c>
      <c r="S30" s="89">
        <f>'Module 1'!J3</f>
        <v>3</v>
      </c>
      <c r="T30" s="79">
        <f>'Module 1'!D1</f>
        <v>0</v>
      </c>
      <c r="U30" s="79" t="str">
        <f>'Module 1'!J8</f>
        <v>Tester</v>
      </c>
      <c r="V30" s="117"/>
      <c r="W30" s="118"/>
      <c r="X30" s="119"/>
    </row>
    <row r="32" spans="1:24" x14ac:dyDescent="0.15">
      <c r="A32" s="54" t="s">
        <v>72</v>
      </c>
      <c r="B32" s="95"/>
    </row>
    <row r="33" spans="1:24" x14ac:dyDescent="0.15">
      <c r="A33" s="96"/>
      <c r="B33" s="96"/>
      <c r="C33" s="92"/>
      <c r="D33" s="80" t="s">
        <v>24</v>
      </c>
      <c r="E33" s="80"/>
      <c r="F33" s="80"/>
      <c r="G33" s="80"/>
      <c r="H33" s="80"/>
      <c r="I33" s="80" t="s">
        <v>62</v>
      </c>
      <c r="J33" s="80"/>
      <c r="K33" s="80"/>
      <c r="L33" s="80"/>
      <c r="M33" s="80"/>
      <c r="N33" s="80" t="s">
        <v>63</v>
      </c>
      <c r="O33" s="80"/>
      <c r="P33" s="80"/>
      <c r="Q33" s="80"/>
      <c r="R33" s="80"/>
      <c r="S33" s="80" t="s">
        <v>70</v>
      </c>
      <c r="T33" s="80" t="s">
        <v>71</v>
      </c>
      <c r="U33" s="80" t="s">
        <v>27</v>
      </c>
      <c r="V33" s="80" t="s">
        <v>28</v>
      </c>
      <c r="W33" s="97"/>
      <c r="X33" s="98"/>
    </row>
    <row r="34" spans="1:24" x14ac:dyDescent="0.15">
      <c r="A34" s="81" t="s">
        <v>68</v>
      </c>
      <c r="B34" s="82" t="s">
        <v>69</v>
      </c>
      <c r="C34" s="82" t="s">
        <v>23</v>
      </c>
      <c r="D34" s="82" t="s">
        <v>18</v>
      </c>
      <c r="E34" s="82" t="s">
        <v>19</v>
      </c>
      <c r="F34" s="82" t="s">
        <v>20</v>
      </c>
      <c r="G34" s="82" t="s">
        <v>21</v>
      </c>
      <c r="H34" s="82" t="s">
        <v>22</v>
      </c>
      <c r="I34" s="82" t="s">
        <v>18</v>
      </c>
      <c r="J34" s="82" t="s">
        <v>19</v>
      </c>
      <c r="K34" s="82" t="s">
        <v>20</v>
      </c>
      <c r="L34" s="82" t="s">
        <v>21</v>
      </c>
      <c r="M34" s="82" t="s">
        <v>22</v>
      </c>
      <c r="N34" s="82" t="s">
        <v>18</v>
      </c>
      <c r="O34" s="82" t="s">
        <v>19</v>
      </c>
      <c r="P34" s="82" t="s">
        <v>20</v>
      </c>
      <c r="Q34" s="82" t="s">
        <v>21</v>
      </c>
      <c r="R34" s="82" t="s">
        <v>22</v>
      </c>
      <c r="S34" s="97"/>
      <c r="T34" s="97"/>
      <c r="U34" s="97"/>
      <c r="V34" s="97"/>
      <c r="W34" s="97"/>
      <c r="X34" s="98"/>
    </row>
    <row r="35" spans="1:24" x14ac:dyDescent="0.15">
      <c r="A35" s="121">
        <v>1</v>
      </c>
      <c r="B35" s="120" t="str">
        <f>'Module 1'!B1</f>
        <v>Module 1</v>
      </c>
      <c r="C35" s="79" t="str">
        <f>C4</f>
        <v>Chrome</v>
      </c>
      <c r="D35" s="83">
        <f>COUNTIFS('Module 1'!S9:S9999,"Pass",'Module 1'!G9:G9999,"High")</f>
        <v>0</v>
      </c>
      <c r="E35" s="83">
        <f>COUNTIFS('Module 1'!S9:S9999,"Fail",'Module 1'!G9:G9999,"High")</f>
        <v>0</v>
      </c>
      <c r="F35" s="83">
        <f>COUNTIFS('Module 1'!S9:S9999,"Untested",'Module 1'!G9:G9999,"High")</f>
        <v>0</v>
      </c>
      <c r="G35" s="83">
        <f>COUNTIFS('Module 1'!S9:S9999,"Rejected",'Module 1'!G9:G9999,"High")</f>
        <v>0</v>
      </c>
      <c r="H35" s="84">
        <f>'Module 1'!G3</f>
        <v>1</v>
      </c>
      <c r="I35" s="85">
        <f>COUNTIFS('Module 1'!S9:S9999,"Pass",'Module 1'!G9:G9999,"Normal")</f>
        <v>0</v>
      </c>
      <c r="J35" s="85">
        <f>COUNTIFS('Module 1'!S9:S9999,"Fail",'Module 1'!G9:G9999,"Normal")</f>
        <v>0</v>
      </c>
      <c r="K35" s="85">
        <f>COUNTIFS('Module 1'!S9:S9999,"Untested",'Module 1'!G9:G9999,"Normal")</f>
        <v>0</v>
      </c>
      <c r="L35" s="85">
        <f>COUNTIFS('Module 1'!S9:S9999,"Rejected",'Module 1'!G9:G9999,"Normal")</f>
        <v>0</v>
      </c>
      <c r="M35" s="86">
        <f>'Module 1'!H3</f>
        <v>1</v>
      </c>
      <c r="N35" s="87">
        <f>COUNTIFS('Module 1'!S9:S9999,"Pass",'Module 1'!G9:G9999,"Low")</f>
        <v>0</v>
      </c>
      <c r="O35" s="87">
        <f>COUNTIFS('Module 1'!S9:S9999,"Fail",'Module 1'!G9:G9999,"Low")</f>
        <v>0</v>
      </c>
      <c r="P35" s="87">
        <f>COUNTIFS('Module 1'!S9:S9999,"Untested",'Module 1'!G9:G9999,"Low")</f>
        <v>0</v>
      </c>
      <c r="Q35" s="87">
        <f>COUNTIFS('Module 1'!S9:S9999,"Rejected",'Module 1'!G9:G9999,"Low")</f>
        <v>0</v>
      </c>
      <c r="R35" s="88">
        <f>'Module 1'!I3</f>
        <v>1</v>
      </c>
      <c r="S35" s="89">
        <f>'Module 1'!J3</f>
        <v>3</v>
      </c>
      <c r="T35" s="79">
        <f>'Module 1'!D1</f>
        <v>0</v>
      </c>
      <c r="U35" s="79" t="str">
        <f>'Module 1'!J8</f>
        <v>Tester</v>
      </c>
      <c r="V35" s="117"/>
      <c r="W35" s="118"/>
      <c r="X35" s="119"/>
    </row>
    <row r="36" spans="1:24" x14ac:dyDescent="0.15">
      <c r="A36" s="122"/>
      <c r="B36" s="78"/>
      <c r="C36" s="79" t="str">
        <f>C5</f>
        <v>FireFox</v>
      </c>
      <c r="D36" s="83">
        <f>COUNTIFS('Module 1'!V9:V9999,"Pass",'Module 1'!G9:G9999,"High")</f>
        <v>0</v>
      </c>
      <c r="E36" s="83">
        <f>COUNTIFS('Module 1'!V9:V9999,"Fail",'Module 1'!G9:G9999,"High")</f>
        <v>0</v>
      </c>
      <c r="F36" s="83">
        <f>COUNTIFS('Module 1'!V9:V9999,"Untested",'Module 1'!G9:G9999,"High")</f>
        <v>0</v>
      </c>
      <c r="G36" s="83">
        <f>COUNTIFS('Module 1'!V9:V9999,"Rejected",'Module 1'!G9:G9999,"High")</f>
        <v>0</v>
      </c>
      <c r="H36" s="84">
        <f>'Module 1'!G3</f>
        <v>1</v>
      </c>
      <c r="I36" s="85">
        <f>COUNTIFS('Module 1'!V9:V9999,"Pass",'Module 1'!G9:G9999,"Normal")</f>
        <v>0</v>
      </c>
      <c r="J36" s="85">
        <f>COUNTIFS('Module 1'!V9:V9999,"Fail",'Module 1'!G9:G9999,"Normal")</f>
        <v>0</v>
      </c>
      <c r="K36" s="85">
        <f>COUNTIFS('Module 1'!V9:V9999,"Untested",'Module 1'!G9:G9999,"Normal")</f>
        <v>0</v>
      </c>
      <c r="L36" s="85">
        <f>COUNTIFS('Module 1'!V9:V9999,"Rejected",'Module 1'!G9:G9999,"Normal")</f>
        <v>0</v>
      </c>
      <c r="M36" s="86">
        <f>'Module 1'!H3</f>
        <v>1</v>
      </c>
      <c r="N36" s="87">
        <f>COUNTIFS('Module 1'!V9:V9999,"Pass",'Module 1'!G9:G9999,"Low")</f>
        <v>0</v>
      </c>
      <c r="O36" s="87">
        <f>COUNTIFS('Module 1'!V9:V9999,"Fail",'Module 1'!G9:G9999,"Low")</f>
        <v>0</v>
      </c>
      <c r="P36" s="87">
        <f>COUNTIFS('Module 1'!V9:V9999,"Untested",'Module 1'!G9:G9999,"Low")</f>
        <v>0</v>
      </c>
      <c r="Q36" s="87">
        <f>COUNTIFS('Module 1'!V9:V9999,"Rejected",'Module 1'!G9:G9999,"Low")</f>
        <v>0</v>
      </c>
      <c r="R36" s="88">
        <f>'Module 1'!I3</f>
        <v>1</v>
      </c>
      <c r="S36" s="89">
        <f>'Module 1'!J3</f>
        <v>3</v>
      </c>
      <c r="T36" s="79">
        <f>'Module 1'!D1</f>
        <v>0</v>
      </c>
      <c r="U36" s="79" t="str">
        <f>'Module 1'!J8</f>
        <v>Tester</v>
      </c>
      <c r="V36" s="117"/>
      <c r="W36" s="118"/>
      <c r="X36" s="119"/>
    </row>
    <row r="37" spans="1:24" x14ac:dyDescent="0.15">
      <c r="A37" s="90"/>
      <c r="B37" s="91"/>
      <c r="C37" s="79" t="str">
        <f>C6</f>
        <v>Edge</v>
      </c>
      <c r="D37" s="83">
        <f>COUNTIFS('Module 1'!Y9:Y9999,"Pass",'Module 1'!G9:G9999,"High")</f>
        <v>0</v>
      </c>
      <c r="E37" s="83">
        <f>COUNTIFS('Module 1'!Y9:Y9999,"Fail",'Module 1'!G9:G9999,"High")</f>
        <v>0</v>
      </c>
      <c r="F37" s="83">
        <f>COUNTIFS('Module 1'!Y9:Y9999,"Untested",'Module 1'!G9:G9999,"High")</f>
        <v>0</v>
      </c>
      <c r="G37" s="83">
        <f>COUNTIFS('Module 1'!Y9:Y9999,"Rejected",'Module 1'!G9:G9999,"High")</f>
        <v>0</v>
      </c>
      <c r="H37" s="84">
        <f>'Module 1'!G3</f>
        <v>1</v>
      </c>
      <c r="I37" s="85">
        <f>COUNTIFS('Module 1'!Y9:Y9999,"Pass",'Module 1'!G9:G9999,"Normal")</f>
        <v>0</v>
      </c>
      <c r="J37" s="85">
        <f>COUNTIFS('Module 1'!Y9:Y9999,"Fail",'Module 1'!G9:G9999,"Normal")</f>
        <v>0</v>
      </c>
      <c r="K37" s="85">
        <f>COUNTIFS('Module 1'!Y9:Y9999,"Untested",'Module 1'!G9:G9999,"Normal")</f>
        <v>0</v>
      </c>
      <c r="L37" s="85">
        <f>COUNTIFS('Module 1'!Y9:Y9999,"Rejected",'Module 1'!G9:G9999,"Normal")</f>
        <v>0</v>
      </c>
      <c r="M37" s="86">
        <f>'Module 1'!H3</f>
        <v>1</v>
      </c>
      <c r="N37" s="87">
        <f>COUNTIFS('Module 1'!Y9:Y9999,"Pass",'Module 1'!G9:G9999,"Low")</f>
        <v>0</v>
      </c>
      <c r="O37" s="87">
        <f>COUNTIFS('Module 1'!Y9:Y9999,"Fail",'Module 1'!G9:G9999,"Low")</f>
        <v>0</v>
      </c>
      <c r="P37" s="87">
        <f>COUNTIFS('Module 1'!Y9:Y9999,"Untested",'Module 1'!G9:G9999,"Low")</f>
        <v>0</v>
      </c>
      <c r="Q37" s="87">
        <f>COUNTIFS('Module 1'!Y9:Y9999,"Rejected",'Module 1'!G9:G9999,"Low")</f>
        <v>0</v>
      </c>
      <c r="R37" s="88">
        <f>'Module 1'!I3</f>
        <v>1</v>
      </c>
      <c r="S37" s="89">
        <f>'Module 1'!J3</f>
        <v>3</v>
      </c>
      <c r="T37" s="79">
        <f>'Module 1'!D1</f>
        <v>0</v>
      </c>
      <c r="U37" s="79" t="str">
        <f>'Module 1'!J8</f>
        <v>Tester</v>
      </c>
      <c r="V37" s="117"/>
      <c r="W37" s="118"/>
      <c r="X37" s="119"/>
    </row>
  </sheetData>
  <mergeCells count="61">
    <mergeCell ref="V30:X30"/>
    <mergeCell ref="V37:X37"/>
    <mergeCell ref="B28:B30"/>
    <mergeCell ref="A35:A37"/>
    <mergeCell ref="A28:A30"/>
    <mergeCell ref="B35:B37"/>
    <mergeCell ref="U33:U34"/>
    <mergeCell ref="V33:X34"/>
    <mergeCell ref="V28:X28"/>
    <mergeCell ref="V35:X35"/>
    <mergeCell ref="V29:X29"/>
    <mergeCell ref="V36:X36"/>
    <mergeCell ref="A32:B33"/>
    <mergeCell ref="D33:H33"/>
    <mergeCell ref="I33:M33"/>
    <mergeCell ref="N33:R33"/>
    <mergeCell ref="S33:S34"/>
    <mergeCell ref="T33:T34"/>
    <mergeCell ref="A25:B26"/>
    <mergeCell ref="S26:S27"/>
    <mergeCell ref="T26:T27"/>
    <mergeCell ref="U26:U27"/>
    <mergeCell ref="V26:X27"/>
    <mergeCell ref="D26:H26"/>
    <mergeCell ref="I26:M26"/>
    <mergeCell ref="N26:R26"/>
    <mergeCell ref="U18:U19"/>
    <mergeCell ref="V18:V19"/>
    <mergeCell ref="W18:W19"/>
    <mergeCell ref="X18:X19"/>
    <mergeCell ref="A20:B22"/>
    <mergeCell ref="A23:C23"/>
    <mergeCell ref="A15:C15"/>
    <mergeCell ref="A17:C19"/>
    <mergeCell ref="D17:R17"/>
    <mergeCell ref="S17:U17"/>
    <mergeCell ref="V17:X17"/>
    <mergeCell ref="D18:H18"/>
    <mergeCell ref="I18:M18"/>
    <mergeCell ref="N18:R18"/>
    <mergeCell ref="S18:S19"/>
    <mergeCell ref="T18:T19"/>
    <mergeCell ref="N10:R10"/>
    <mergeCell ref="S9:U9"/>
    <mergeCell ref="S10:S11"/>
    <mergeCell ref="T10:T11"/>
    <mergeCell ref="U10:U11"/>
    <mergeCell ref="V9:X9"/>
    <mergeCell ref="V10:V11"/>
    <mergeCell ref="W10:W11"/>
    <mergeCell ref="X10:X11"/>
    <mergeCell ref="A3:B3"/>
    <mergeCell ref="A4:B6"/>
    <mergeCell ref="D2:J2"/>
    <mergeCell ref="K2:Q2"/>
    <mergeCell ref="A8:B8"/>
    <mergeCell ref="A12:B14"/>
    <mergeCell ref="A9:C11"/>
    <mergeCell ref="D9:R9"/>
    <mergeCell ref="D10:H10"/>
    <mergeCell ref="I10:M10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7"/>
  <sheetViews>
    <sheetView zoomScale="90" zoomScaleNormal="90" zoomScalePageLayoutView="180" workbookViewId="0">
      <selection activeCell="C16" sqref="C16"/>
    </sheetView>
  </sheetViews>
  <sheetFormatPr defaultColWidth="8.875" defaultRowHeight="13.5" x14ac:dyDescent="0.15"/>
  <cols>
    <col min="1" max="1" width="20.75" customWidth="1"/>
    <col min="2" max="2" width="15.125" customWidth="1"/>
    <col min="3" max="3" width="22.125" customWidth="1"/>
    <col min="4" max="4" width="26.125" customWidth="1"/>
    <col min="5" max="5" width="14.625" customWidth="1"/>
    <col min="6" max="6" width="26.625" customWidth="1"/>
    <col min="7" max="7" width="11.375" customWidth="1"/>
    <col min="8" max="8" width="13.375" customWidth="1"/>
    <col min="9" max="9" width="10.875" customWidth="1"/>
    <col min="10" max="10" width="14.125" customWidth="1"/>
    <col min="11" max="11" width="12.75" customWidth="1"/>
    <col min="12" max="12" width="9.625" customWidth="1"/>
    <col min="13" max="13" width="13.75" customWidth="1"/>
    <col min="14" max="14" width="14.75" customWidth="1"/>
    <col min="15" max="15" width="13.375" customWidth="1"/>
    <col min="16" max="18" width="10.875" customWidth="1"/>
    <col min="19" max="19" width="11.125" customWidth="1"/>
    <col min="20" max="20" width="10.375" customWidth="1"/>
    <col min="21" max="21" width="11.625" customWidth="1"/>
    <col min="22" max="22" width="13.375" customWidth="1"/>
    <col min="23" max="23" width="19.375" customWidth="1"/>
  </cols>
  <sheetData>
    <row r="1" spans="1:100" ht="30.75" customHeight="1" x14ac:dyDescent="0.15">
      <c r="A1" s="3" t="s">
        <v>29</v>
      </c>
      <c r="B1" s="30" t="s">
        <v>30</v>
      </c>
      <c r="C1" s="4" t="s">
        <v>31</v>
      </c>
      <c r="D1" s="30"/>
      <c r="E1" s="1"/>
      <c r="F1" s="31" t="s">
        <v>23</v>
      </c>
      <c r="G1" s="51" t="s">
        <v>32</v>
      </c>
      <c r="H1" s="52"/>
      <c r="I1" s="52"/>
      <c r="J1" s="53"/>
      <c r="K1" s="46" t="s">
        <v>17</v>
      </c>
      <c r="L1" s="47"/>
      <c r="M1" s="47"/>
      <c r="N1" s="47"/>
      <c r="O1" s="47"/>
      <c r="P1" s="48"/>
      <c r="Q1" s="46" t="s">
        <v>33</v>
      </c>
      <c r="R1" s="47"/>
      <c r="S1" s="47"/>
      <c r="T1" s="47"/>
      <c r="U1" s="47"/>
      <c r="V1" s="48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 x14ac:dyDescent="0.15">
      <c r="A2" s="3" t="s">
        <v>34</v>
      </c>
      <c r="B2" s="39" t="str">
        <f>Cover!D3</f>
        <v>Nhập tên dự án</v>
      </c>
      <c r="C2" s="4" t="s">
        <v>35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36</v>
      </c>
      <c r="P2" s="31" t="s">
        <v>37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38</v>
      </c>
      <c r="V2" s="31" t="s">
        <v>37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 x14ac:dyDescent="0.15">
      <c r="A3" s="3" t="s">
        <v>5</v>
      </c>
      <c r="B3" s="39" t="str">
        <f>Cover!D4</f>
        <v xml:space="preserve">Nhâp tên phase </v>
      </c>
      <c r="C3" s="4" t="s">
        <v>39</v>
      </c>
      <c r="D3" s="32"/>
      <c r="E3" s="1"/>
      <c r="F3" s="106" t="str">
        <f>Report!C4</f>
        <v>Chrome</v>
      </c>
      <c r="G3" s="107">
        <f>COUNTIF(G9:G1001,"High")</f>
        <v>1</v>
      </c>
      <c r="H3" s="107">
        <f>COUNTIF(G9:G1001,"Normal")</f>
        <v>1</v>
      </c>
      <c r="I3" s="107">
        <f>COUNTIF(G9:G1001,"Low")</f>
        <v>1</v>
      </c>
      <c r="J3" s="107">
        <f>SUM(G3:I3)</f>
        <v>3</v>
      </c>
      <c r="K3" s="108">
        <f>COUNTIF(I9:I1009,"Pass")</f>
        <v>0</v>
      </c>
      <c r="L3" s="108">
        <f>COUNTIF(I9:I1009,"Fail")</f>
        <v>0</v>
      </c>
      <c r="M3" s="108">
        <f>J3-K3-L3-N3</f>
        <v>3</v>
      </c>
      <c r="N3" s="108">
        <f>COUNTIF(I9:I1009,"Rejected")</f>
        <v>0</v>
      </c>
      <c r="O3" s="109">
        <f>(K3+L3)/(J3-N3)</f>
        <v>0</v>
      </c>
      <c r="P3" s="109">
        <f>K3/(J3-N3)</f>
        <v>0</v>
      </c>
      <c r="Q3" s="108">
        <f>COUNTIF(S9:S1008,"Pass")</f>
        <v>0</v>
      </c>
      <c r="R3" s="108">
        <f>COUNTIF(S9:S1008,"Fail")</f>
        <v>0</v>
      </c>
      <c r="S3" s="108">
        <f>J3-Q3-R3-T3</f>
        <v>3</v>
      </c>
      <c r="T3" s="108">
        <f>COUNTIF(S9:S1008,"Rejected")</f>
        <v>0</v>
      </c>
      <c r="U3" s="109">
        <f>(Q3+R3)/(J3-T3)</f>
        <v>0</v>
      </c>
      <c r="V3" s="109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 x14ac:dyDescent="0.15">
      <c r="A4" s="3"/>
      <c r="B4" s="104"/>
      <c r="C4" s="4"/>
      <c r="D4" s="105"/>
      <c r="E4" s="1"/>
      <c r="F4" s="110" t="str">
        <f>Report!C5</f>
        <v>FireFox</v>
      </c>
      <c r="G4" s="111"/>
      <c r="H4" s="111"/>
      <c r="I4" s="111"/>
      <c r="J4" s="111"/>
      <c r="K4" s="112">
        <f>COUNTIF(L9:L1009,"Pass")</f>
        <v>0</v>
      </c>
      <c r="L4" s="112">
        <f>COUNTIF(L9:L1009,"Fail")</f>
        <v>0</v>
      </c>
      <c r="M4" s="112">
        <f>J3-K4-L4-N4</f>
        <v>3</v>
      </c>
      <c r="N4" s="112">
        <f>COUNTIF(L9:L1009,"Rejected")</f>
        <v>0</v>
      </c>
      <c r="O4" s="113">
        <f>(K4+L4)/(J3-N4)</f>
        <v>0</v>
      </c>
      <c r="P4" s="113">
        <f>K4/(J3-N4)</f>
        <v>0</v>
      </c>
      <c r="Q4" s="112">
        <f>COUNTIF(V9:V1008,"Pass")</f>
        <v>0</v>
      </c>
      <c r="R4" s="112">
        <f>COUNTIF(V9:V1008,"Fail")</f>
        <v>0</v>
      </c>
      <c r="S4" s="112">
        <f>J3-Q4-R4-T4</f>
        <v>3</v>
      </c>
      <c r="T4" s="112">
        <f>COUNTIF(V9:V1008,"Rejected")</f>
        <v>0</v>
      </c>
      <c r="U4" s="113">
        <f>(Q4+R4)/(J3-T4)</f>
        <v>0</v>
      </c>
      <c r="V4" s="113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 x14ac:dyDescent="0.15">
      <c r="A5" s="3"/>
      <c r="B5" s="104"/>
      <c r="C5" s="4"/>
      <c r="D5" s="105"/>
      <c r="E5" s="1"/>
      <c r="F5" s="110" t="str">
        <f>Report!C6</f>
        <v>Edge</v>
      </c>
      <c r="G5" s="111"/>
      <c r="H5" s="111"/>
      <c r="I5" s="111"/>
      <c r="J5" s="111"/>
      <c r="K5" s="112">
        <f>COUNTIF(O9:O1009,"Pass")</f>
        <v>0</v>
      </c>
      <c r="L5" s="112">
        <f>COUNTIF(O9:O1009,"Fail")</f>
        <v>0</v>
      </c>
      <c r="M5" s="112">
        <f>J3-K5-L5-N5</f>
        <v>3</v>
      </c>
      <c r="N5" s="112">
        <f>COUNTIF(O9:O1009,"Rejected")</f>
        <v>0</v>
      </c>
      <c r="O5" s="113">
        <f>(K5+L5)/(J3-N5)</f>
        <v>0</v>
      </c>
      <c r="P5" s="113">
        <f>K5/(J3-N5)</f>
        <v>0</v>
      </c>
      <c r="Q5" s="112">
        <f>COUNTIF(Y9:Y1008,"Pass")</f>
        <v>0</v>
      </c>
      <c r="R5" s="112">
        <f>COUNTIF(Y9:Y1008,"Fail")</f>
        <v>0</v>
      </c>
      <c r="S5" s="112">
        <f>J3-Q5-R5-T5</f>
        <v>3</v>
      </c>
      <c r="T5" s="112">
        <f>COUNTIF(Y9:Y1008,"Rejected")</f>
        <v>0</v>
      </c>
      <c r="U5" s="113">
        <f>(Q5+R5)/(J3-T5)</f>
        <v>0</v>
      </c>
      <c r="V5" s="113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 x14ac:dyDescent="0.15">
      <c r="A6" s="1"/>
      <c r="B6" s="1"/>
      <c r="C6" s="2"/>
      <c r="D6" s="1"/>
      <c r="E6" s="1"/>
      <c r="F6" s="2"/>
      <c r="G6" s="2"/>
      <c r="H6" s="1"/>
      <c r="I6" s="20"/>
      <c r="J6" s="20"/>
      <c r="K6" s="20"/>
      <c r="L6" s="20"/>
      <c r="M6" s="20"/>
      <c r="N6" s="20"/>
      <c r="O6" s="1"/>
      <c r="P6" s="20"/>
      <c r="Q6" s="20"/>
      <c r="R6" s="20"/>
      <c r="S6" s="20"/>
      <c r="T6" s="20"/>
      <c r="U6" s="20"/>
      <c r="V6" s="1"/>
      <c r="W6" s="18"/>
    </row>
    <row r="7" spans="1:100" ht="15.75" customHeight="1" x14ac:dyDescent="0.15">
      <c r="A7" s="49" t="s">
        <v>40</v>
      </c>
      <c r="B7" s="49" t="s">
        <v>41</v>
      </c>
      <c r="C7" s="49" t="s">
        <v>54</v>
      </c>
      <c r="D7" s="49" t="s">
        <v>42</v>
      </c>
      <c r="E7" s="49" t="s">
        <v>43</v>
      </c>
      <c r="F7" s="49" t="s">
        <v>44</v>
      </c>
      <c r="G7" s="51" t="s">
        <v>45</v>
      </c>
      <c r="H7" s="99" t="s">
        <v>46</v>
      </c>
      <c r="I7" s="100"/>
      <c r="J7" s="100"/>
      <c r="K7" s="100"/>
      <c r="L7" s="100"/>
      <c r="M7" s="100"/>
      <c r="N7" s="100"/>
      <c r="O7" s="100"/>
      <c r="P7" s="100"/>
      <c r="Q7" s="100"/>
      <c r="R7" s="100" t="s">
        <v>47</v>
      </c>
      <c r="S7" s="100"/>
      <c r="T7" s="100"/>
      <c r="U7" s="100"/>
      <c r="V7" s="100"/>
      <c r="W7" s="100"/>
      <c r="X7" s="100"/>
      <c r="Y7" s="100"/>
      <c r="Z7" s="100"/>
      <c r="AA7" s="100"/>
      <c r="AB7" s="100" t="s">
        <v>28</v>
      </c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3"/>
      <c r="CC7" s="103"/>
      <c r="CD7" s="103"/>
      <c r="CE7" s="103"/>
      <c r="CF7" s="103"/>
      <c r="CG7" s="103"/>
      <c r="CH7" s="103"/>
      <c r="CI7" s="103"/>
      <c r="CJ7" s="103"/>
      <c r="CK7" s="103"/>
      <c r="CL7" s="103"/>
      <c r="CM7" s="103"/>
      <c r="CN7" s="103"/>
      <c r="CO7" s="103"/>
      <c r="CP7" s="103"/>
      <c r="CQ7" s="103"/>
      <c r="CR7" s="103"/>
      <c r="CS7" s="103"/>
      <c r="CT7" s="103"/>
      <c r="CU7" s="103"/>
      <c r="CV7" s="103"/>
    </row>
    <row r="8" spans="1:100" ht="15.75" x14ac:dyDescent="0.15">
      <c r="A8" s="50"/>
      <c r="B8" s="50"/>
      <c r="C8" s="50"/>
      <c r="D8" s="50"/>
      <c r="E8" s="50"/>
      <c r="F8" s="50"/>
      <c r="G8" s="51"/>
      <c r="H8" s="40" t="s">
        <v>48</v>
      </c>
      <c r="I8" s="40" t="str">
        <f>Report!C4</f>
        <v>Chrome</v>
      </c>
      <c r="J8" s="40" t="s">
        <v>27</v>
      </c>
      <c r="K8" s="40" t="s">
        <v>49</v>
      </c>
      <c r="L8" s="40" t="str">
        <f>Report!C5</f>
        <v>FireFox</v>
      </c>
      <c r="M8" s="40" t="s">
        <v>27</v>
      </c>
      <c r="N8" s="40" t="s">
        <v>49</v>
      </c>
      <c r="O8" s="40" t="str">
        <f>Report!C6</f>
        <v>Edge</v>
      </c>
      <c r="P8" s="101" t="s">
        <v>27</v>
      </c>
      <c r="Q8" s="101" t="s">
        <v>49</v>
      </c>
      <c r="R8" s="101" t="s">
        <v>48</v>
      </c>
      <c r="S8" s="101" t="str">
        <f>Report!C4</f>
        <v>Chrome</v>
      </c>
      <c r="T8" s="101" t="s">
        <v>27</v>
      </c>
      <c r="U8" s="101" t="s">
        <v>49</v>
      </c>
      <c r="V8" s="101" t="str">
        <f>Report!C5</f>
        <v>FireFox</v>
      </c>
      <c r="W8" s="101" t="s">
        <v>27</v>
      </c>
      <c r="X8" s="101" t="s">
        <v>49</v>
      </c>
      <c r="Y8" s="101" t="str">
        <f>Report!C6</f>
        <v>Edge</v>
      </c>
      <c r="Z8" s="101" t="s">
        <v>27</v>
      </c>
      <c r="AA8" s="101" t="s">
        <v>49</v>
      </c>
      <c r="AB8" s="100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</row>
    <row r="9" spans="1:100" ht="189" x14ac:dyDescent="0.15">
      <c r="A9" s="33" t="str">
        <f>IF(G9&lt;&gt;"",""&amp;TEXT($B$1,"##")&amp;"-"&amp; (ROW()-5)-COUNTBLANK(G$7:G9),"")</f>
        <v>Module 1-3</v>
      </c>
      <c r="B9" s="33" t="s">
        <v>50</v>
      </c>
      <c r="C9" s="33" t="s">
        <v>51</v>
      </c>
      <c r="D9" s="33" t="s">
        <v>52</v>
      </c>
      <c r="E9" s="34"/>
      <c r="F9" s="34" t="s">
        <v>53</v>
      </c>
      <c r="G9" s="35" t="s">
        <v>24</v>
      </c>
      <c r="H9" s="114"/>
      <c r="I9" s="114"/>
      <c r="J9" s="114"/>
      <c r="K9" s="115"/>
      <c r="L9" s="114"/>
      <c r="M9" s="114"/>
      <c r="N9" s="114"/>
      <c r="O9" s="114"/>
      <c r="P9" s="114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  <c r="CD9" s="103"/>
      <c r="CE9" s="103"/>
      <c r="CF9" s="103"/>
      <c r="CG9" s="103"/>
      <c r="CH9" s="103"/>
      <c r="CI9" s="103"/>
      <c r="CJ9" s="103"/>
      <c r="CK9" s="103"/>
      <c r="CL9" s="103"/>
      <c r="CM9" s="103"/>
      <c r="CN9" s="103"/>
      <c r="CO9" s="103"/>
      <c r="CP9" s="103"/>
      <c r="CQ9" s="103"/>
      <c r="CR9" s="103"/>
      <c r="CS9" s="103"/>
      <c r="CT9" s="103"/>
      <c r="CU9" s="103"/>
      <c r="CV9" s="103"/>
    </row>
    <row r="10" spans="1:100" ht="15.75" x14ac:dyDescent="0.15">
      <c r="A10" s="33" t="str">
        <f>IF(G10&lt;&gt;"",""&amp;TEXT($B$1,"##")&amp;"-"&amp; (ROW()-5)-COUNTBLANK(G$7:G10),"")</f>
        <v>Module 1-4</v>
      </c>
      <c r="B10" s="33"/>
      <c r="C10" s="33"/>
      <c r="D10" s="33"/>
      <c r="E10" s="34"/>
      <c r="F10" s="34"/>
      <c r="G10" s="35" t="s">
        <v>25</v>
      </c>
      <c r="H10" s="114"/>
      <c r="I10" s="114"/>
      <c r="J10" s="114"/>
      <c r="K10" s="115"/>
      <c r="L10" s="114"/>
      <c r="M10" s="114"/>
      <c r="N10" s="114"/>
      <c r="O10" s="114"/>
      <c r="P10" s="114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R10" s="103"/>
      <c r="BS10" s="103"/>
      <c r="BT10" s="103"/>
      <c r="BU10" s="103"/>
      <c r="BV10" s="103"/>
      <c r="BW10" s="103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  <c r="CJ10" s="103"/>
      <c r="CK10" s="103"/>
      <c r="CL10" s="103"/>
      <c r="CM10" s="103"/>
      <c r="CN10" s="103"/>
      <c r="CO10" s="103"/>
      <c r="CP10" s="103"/>
      <c r="CQ10" s="103"/>
      <c r="CR10" s="103"/>
      <c r="CS10" s="103"/>
      <c r="CT10" s="103"/>
      <c r="CU10" s="103"/>
      <c r="CV10" s="103"/>
    </row>
    <row r="11" spans="1:100" ht="15.75" x14ac:dyDescent="0.15">
      <c r="A11" s="33" t="str">
        <f>IF(G11&lt;&gt;"",""&amp;TEXT($B$1,"##")&amp;"-"&amp; (ROW()-5)-COUNTBLANK(G$7:G11),"")</f>
        <v>Module 1-5</v>
      </c>
      <c r="B11" s="33"/>
      <c r="C11" s="33"/>
      <c r="D11" s="33"/>
      <c r="E11" s="34"/>
      <c r="F11" s="34"/>
      <c r="G11" s="35" t="s">
        <v>26</v>
      </c>
      <c r="H11" s="114"/>
      <c r="I11" s="114"/>
      <c r="J11" s="114"/>
      <c r="K11" s="115"/>
      <c r="L11" s="114"/>
      <c r="M11" s="114"/>
      <c r="N11" s="114"/>
      <c r="O11" s="114"/>
      <c r="P11" s="114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103"/>
      <c r="BT11" s="103"/>
      <c r="BU11" s="103"/>
      <c r="BV11" s="103"/>
      <c r="BW11" s="103"/>
      <c r="BX11" s="103"/>
      <c r="BY11" s="103"/>
      <c r="BZ11" s="103"/>
      <c r="CA11" s="103"/>
      <c r="CB11" s="103"/>
      <c r="CC11" s="103"/>
      <c r="CD11" s="103"/>
      <c r="CE11" s="103"/>
      <c r="CF11" s="103"/>
      <c r="CG11" s="103"/>
      <c r="CH11" s="103"/>
      <c r="CI11" s="103"/>
      <c r="CJ11" s="103"/>
      <c r="CK11" s="103"/>
      <c r="CL11" s="103"/>
      <c r="CM11" s="103"/>
      <c r="CN11" s="103"/>
      <c r="CO11" s="103"/>
      <c r="CP11" s="103"/>
      <c r="CQ11" s="103"/>
      <c r="CR11" s="103"/>
      <c r="CS11" s="103"/>
      <c r="CT11" s="103"/>
      <c r="CU11" s="103"/>
      <c r="CV11" s="103"/>
    </row>
    <row r="12" spans="1:100" ht="15.75" x14ac:dyDescent="0.15">
      <c r="A12" s="33" t="str">
        <f>IF(G12&lt;&gt;"",""&amp;TEXT($B$1,"##")&amp;"-"&amp; (ROW()-5)-COUNTBLANK(G$7:G12),"")</f>
        <v/>
      </c>
      <c r="B12" s="33"/>
      <c r="C12" s="33"/>
      <c r="E12" s="34"/>
      <c r="F12" s="34"/>
      <c r="G12" s="35"/>
      <c r="H12" s="114"/>
      <c r="I12" s="114"/>
      <c r="J12" s="114"/>
      <c r="K12" s="115"/>
      <c r="L12" s="114"/>
      <c r="M12" s="114"/>
      <c r="N12" s="114"/>
      <c r="O12" s="114"/>
      <c r="P12" s="114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  <c r="BM12" s="103"/>
      <c r="BN12" s="103"/>
      <c r="BO12" s="103"/>
      <c r="BP12" s="103"/>
      <c r="BQ12" s="103"/>
      <c r="BR12" s="103"/>
      <c r="BS12" s="103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3"/>
      <c r="CG12" s="103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103"/>
    </row>
    <row r="13" spans="1:100" ht="15.75" x14ac:dyDescent="0.15">
      <c r="A13" s="33" t="str">
        <f>IF(G13&lt;&gt;"",""&amp;TEXT($B$1,"##")&amp;"-"&amp; (ROW()-5)-COUNTBLANK(G$7:G13),"")</f>
        <v/>
      </c>
      <c r="B13" s="33"/>
      <c r="C13" s="33"/>
      <c r="D13" s="33"/>
      <c r="E13" s="34"/>
      <c r="F13" s="34"/>
      <c r="G13" s="35"/>
      <c r="H13" s="114"/>
      <c r="I13" s="114"/>
      <c r="J13" s="114"/>
      <c r="K13" s="115"/>
      <c r="L13" s="114"/>
      <c r="M13" s="114"/>
      <c r="N13" s="114"/>
      <c r="O13" s="114"/>
      <c r="P13" s="114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  <c r="BM13" s="103"/>
      <c r="BN13" s="103"/>
      <c r="BO13" s="103"/>
      <c r="BP13" s="103"/>
      <c r="BQ13" s="103"/>
      <c r="BR13" s="103"/>
      <c r="BS13" s="103"/>
      <c r="BT13" s="103"/>
      <c r="BU13" s="103"/>
      <c r="BV13" s="103"/>
      <c r="BW13" s="103"/>
      <c r="BX13" s="103"/>
      <c r="BY13" s="103"/>
      <c r="BZ13" s="103"/>
      <c r="CA13" s="103"/>
      <c r="CB13" s="103"/>
      <c r="CC13" s="103"/>
      <c r="CD13" s="103"/>
      <c r="CE13" s="103"/>
      <c r="CF13" s="103"/>
      <c r="CG13" s="103"/>
      <c r="CH13" s="103"/>
      <c r="CI13" s="103"/>
      <c r="CJ13" s="103"/>
      <c r="CK13" s="103"/>
      <c r="CL13" s="103"/>
      <c r="CM13" s="103"/>
      <c r="CN13" s="103"/>
      <c r="CO13" s="103"/>
      <c r="CP13" s="103"/>
      <c r="CQ13" s="103"/>
      <c r="CR13" s="103"/>
      <c r="CS13" s="103"/>
      <c r="CT13" s="103"/>
      <c r="CU13" s="103"/>
      <c r="CV13" s="103"/>
    </row>
    <row r="14" spans="1:100" ht="15.75" x14ac:dyDescent="0.15">
      <c r="A14" s="33" t="str">
        <f>IF(G14&lt;&gt;"",""&amp;TEXT($B$1,"##")&amp;"-"&amp; (ROW()-5)-COUNTBLANK(G$7:G14),"")</f>
        <v/>
      </c>
      <c r="B14" s="33"/>
      <c r="C14" s="33"/>
      <c r="D14" s="33"/>
      <c r="E14" s="34"/>
      <c r="F14" s="34"/>
      <c r="G14" s="35"/>
      <c r="H14" s="114"/>
      <c r="I14" s="114"/>
      <c r="J14" s="114"/>
      <c r="K14" s="115"/>
      <c r="L14" s="114"/>
      <c r="M14" s="114"/>
      <c r="N14" s="114"/>
      <c r="O14" s="114"/>
      <c r="P14" s="114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3"/>
      <c r="BX14" s="103"/>
      <c r="BY14" s="103"/>
      <c r="BZ14" s="103"/>
      <c r="CA14" s="103"/>
      <c r="CB14" s="103"/>
      <c r="CC14" s="103"/>
      <c r="CD14" s="103"/>
      <c r="CE14" s="103"/>
      <c r="CF14" s="103"/>
      <c r="CG14" s="103"/>
      <c r="CH14" s="103"/>
      <c r="CI14" s="103"/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3"/>
      <c r="CV14" s="103"/>
    </row>
    <row r="15" spans="1:100" ht="15.75" x14ac:dyDescent="0.15">
      <c r="A15" s="33" t="str">
        <f>IF(G15&lt;&gt;"",""&amp;TEXT($B$1,"##")&amp;"-"&amp; (ROW()-5)-COUNTBLANK(G$7:G15),"")</f>
        <v/>
      </c>
      <c r="B15" s="33"/>
      <c r="C15" s="33"/>
      <c r="D15" s="33"/>
      <c r="E15" s="34"/>
      <c r="F15" s="34"/>
      <c r="G15" s="35"/>
      <c r="H15" s="114"/>
      <c r="I15" s="114"/>
      <c r="J15" s="114"/>
      <c r="K15" s="115"/>
      <c r="L15" s="114"/>
      <c r="M15" s="114"/>
      <c r="N15" s="114"/>
      <c r="O15" s="114"/>
      <c r="P15" s="114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  <c r="BM15" s="103"/>
      <c r="BN15" s="103"/>
      <c r="BO15" s="103"/>
      <c r="BP15" s="103"/>
      <c r="BQ15" s="103"/>
      <c r="BR15" s="103"/>
      <c r="BS15" s="103"/>
      <c r="BT15" s="103"/>
      <c r="BU15" s="103"/>
      <c r="BV15" s="103"/>
      <c r="BW15" s="103"/>
      <c r="BX15" s="103"/>
      <c r="BY15" s="103"/>
      <c r="BZ15" s="103"/>
      <c r="CA15" s="103"/>
      <c r="CB15" s="103"/>
      <c r="CC15" s="103"/>
      <c r="CD15" s="103"/>
      <c r="CE15" s="103"/>
      <c r="CF15" s="103"/>
      <c r="CG15" s="103"/>
      <c r="CH15" s="103"/>
      <c r="CI15" s="103"/>
      <c r="CJ15" s="103"/>
      <c r="CK15" s="103"/>
      <c r="CL15" s="103"/>
      <c r="CM15" s="103"/>
      <c r="CN15" s="103"/>
      <c r="CO15" s="103"/>
      <c r="CP15" s="103"/>
      <c r="CQ15" s="103"/>
      <c r="CR15" s="103"/>
      <c r="CS15" s="103"/>
      <c r="CT15" s="103"/>
      <c r="CU15" s="103"/>
      <c r="CV15" s="103"/>
    </row>
    <row r="16" spans="1:100" ht="15.75" x14ac:dyDescent="0.15">
      <c r="A16" s="33"/>
      <c r="B16" s="33"/>
      <c r="C16" s="33"/>
      <c r="D16" s="33"/>
      <c r="E16" s="34"/>
      <c r="F16" s="34"/>
      <c r="G16" s="35"/>
      <c r="H16" s="114"/>
      <c r="I16" s="114"/>
      <c r="J16" s="114"/>
      <c r="K16" s="115"/>
      <c r="L16" s="114"/>
      <c r="M16" s="114"/>
      <c r="N16" s="114"/>
      <c r="O16" s="114"/>
      <c r="P16" s="114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  <c r="BM16" s="103"/>
      <c r="BN16" s="103"/>
      <c r="BO16" s="103"/>
      <c r="BP16" s="103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103"/>
    </row>
    <row r="17" spans="1:100" ht="15.75" x14ac:dyDescent="0.15">
      <c r="A17" s="33"/>
      <c r="B17" s="33"/>
      <c r="C17" s="33"/>
      <c r="D17" s="33"/>
      <c r="E17" s="34"/>
      <c r="F17" s="34"/>
      <c r="G17" s="35"/>
      <c r="H17" s="114"/>
      <c r="I17" s="114"/>
      <c r="J17" s="114"/>
      <c r="K17" s="115"/>
      <c r="L17" s="114"/>
      <c r="M17" s="114"/>
      <c r="N17" s="114"/>
      <c r="O17" s="114"/>
      <c r="P17" s="114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  <c r="BM17" s="103"/>
      <c r="BN17" s="103"/>
      <c r="BO17" s="103"/>
      <c r="BP17" s="103"/>
      <c r="BQ17" s="103"/>
      <c r="BR17" s="103"/>
      <c r="BS17" s="103"/>
      <c r="BT17" s="103"/>
      <c r="BU17" s="103"/>
      <c r="BV17" s="103"/>
      <c r="BW17" s="103"/>
      <c r="BX17" s="103"/>
      <c r="BY17" s="103"/>
      <c r="BZ17" s="103"/>
      <c r="CA17" s="103"/>
      <c r="CB17" s="103"/>
      <c r="CC17" s="103"/>
      <c r="CD17" s="103"/>
      <c r="CE17" s="103"/>
      <c r="CF17" s="103"/>
      <c r="CG17" s="103"/>
      <c r="CH17" s="103"/>
      <c r="CI17" s="103"/>
      <c r="CJ17" s="103"/>
      <c r="CK17" s="103"/>
      <c r="CL17" s="103"/>
      <c r="CM17" s="103"/>
      <c r="CN17" s="103"/>
      <c r="CO17" s="103"/>
      <c r="CP17" s="103"/>
      <c r="CQ17" s="103"/>
      <c r="CR17" s="103"/>
      <c r="CS17" s="103"/>
      <c r="CT17" s="103"/>
      <c r="CU17" s="103"/>
      <c r="CV17" s="103"/>
    </row>
    <row r="18" spans="1:100" ht="15.75" x14ac:dyDescent="0.15">
      <c r="A18" s="33"/>
      <c r="B18" s="33"/>
      <c r="C18" s="33"/>
      <c r="D18" s="33"/>
      <c r="E18" s="34"/>
      <c r="F18" s="34"/>
      <c r="G18" s="35"/>
      <c r="H18" s="114"/>
      <c r="I18" s="114"/>
      <c r="J18" s="114"/>
      <c r="K18" s="115"/>
      <c r="L18" s="114"/>
      <c r="M18" s="114"/>
      <c r="N18" s="114"/>
      <c r="O18" s="114"/>
      <c r="P18" s="114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/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103"/>
      <c r="CV18" s="103"/>
    </row>
    <row r="19" spans="1:100" ht="15.75" x14ac:dyDescent="0.15">
      <c r="A19" s="33"/>
      <c r="B19" s="36"/>
      <c r="C19" s="36"/>
      <c r="D19" s="37"/>
      <c r="E19" s="37"/>
      <c r="F19" s="36"/>
      <c r="G19" s="35"/>
      <c r="H19" s="114"/>
      <c r="I19" s="114"/>
      <c r="J19" s="114"/>
      <c r="K19" s="115"/>
      <c r="L19" s="114"/>
      <c r="M19" s="114"/>
      <c r="N19" s="114"/>
      <c r="O19" s="114"/>
      <c r="P19" s="114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/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</row>
    <row r="20" spans="1:100" ht="15.75" x14ac:dyDescent="0.15">
      <c r="A20" s="33"/>
      <c r="B20" s="36"/>
      <c r="C20" s="36"/>
      <c r="D20" s="36"/>
      <c r="E20" s="36"/>
      <c r="F20" s="36"/>
      <c r="G20" s="35"/>
      <c r="H20" s="114"/>
      <c r="I20" s="114"/>
      <c r="J20" s="114"/>
      <c r="K20" s="115"/>
      <c r="L20" s="114"/>
      <c r="M20" s="114"/>
      <c r="N20" s="114"/>
      <c r="O20" s="114"/>
      <c r="P20" s="114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  <c r="BM20" s="103"/>
      <c r="BN20" s="103"/>
      <c r="BO20" s="103"/>
      <c r="BP20" s="103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103"/>
    </row>
    <row r="21" spans="1:100" ht="15.75" x14ac:dyDescent="0.15">
      <c r="A21" s="33"/>
      <c r="B21" s="36"/>
      <c r="C21" s="36"/>
      <c r="D21" s="36"/>
      <c r="E21" s="36"/>
      <c r="F21" s="36"/>
      <c r="G21" s="35"/>
      <c r="H21" s="114"/>
      <c r="I21" s="114"/>
      <c r="J21" s="114"/>
      <c r="K21" s="115"/>
      <c r="L21" s="114"/>
      <c r="M21" s="114"/>
      <c r="N21" s="114"/>
      <c r="O21" s="114"/>
      <c r="P21" s="114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103"/>
      <c r="CV21" s="103"/>
    </row>
    <row r="22" spans="1:100" ht="15.75" x14ac:dyDescent="0.15">
      <c r="A22" s="33"/>
      <c r="B22" s="36"/>
      <c r="C22" s="36"/>
      <c r="D22" s="36"/>
      <c r="E22" s="36"/>
      <c r="F22" s="36"/>
      <c r="G22" s="35"/>
      <c r="H22" s="114"/>
      <c r="I22" s="114"/>
      <c r="J22" s="114"/>
      <c r="K22" s="115"/>
      <c r="L22" s="114"/>
      <c r="M22" s="114"/>
      <c r="N22" s="114"/>
      <c r="O22" s="114"/>
      <c r="P22" s="114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</row>
    <row r="23" spans="1:100" ht="15.75" x14ac:dyDescent="0.15">
      <c r="A23" s="33"/>
      <c r="B23" s="36"/>
      <c r="C23" s="36"/>
      <c r="D23" s="36"/>
      <c r="E23" s="36"/>
      <c r="F23" s="36"/>
      <c r="G23" s="35"/>
      <c r="H23" s="114"/>
      <c r="I23" s="114"/>
      <c r="J23" s="114"/>
      <c r="K23" s="115"/>
      <c r="L23" s="114"/>
      <c r="M23" s="114"/>
      <c r="N23" s="114"/>
      <c r="O23" s="114"/>
      <c r="P23" s="114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  <c r="BM23" s="103"/>
      <c r="BN23" s="103"/>
      <c r="BO23" s="103"/>
      <c r="BP23" s="103"/>
      <c r="BQ23" s="103"/>
      <c r="BR23" s="103"/>
      <c r="BS23" s="103"/>
      <c r="BT23" s="103"/>
      <c r="BU23" s="103"/>
      <c r="BV23" s="103"/>
      <c r="BW23" s="103"/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</row>
    <row r="24" spans="1:100" ht="15.75" x14ac:dyDescent="0.15">
      <c r="A24" s="33"/>
      <c r="B24" s="36"/>
      <c r="C24" s="36"/>
      <c r="D24" s="36"/>
      <c r="E24" s="36"/>
      <c r="F24" s="36"/>
      <c r="G24" s="35"/>
      <c r="H24" s="114"/>
      <c r="I24" s="114"/>
      <c r="J24" s="114"/>
      <c r="K24" s="115"/>
      <c r="L24" s="114"/>
      <c r="M24" s="114"/>
      <c r="N24" s="114"/>
      <c r="O24" s="114"/>
      <c r="P24" s="114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103"/>
      <c r="CV24" s="103"/>
    </row>
    <row r="25" spans="1:100" ht="15.75" x14ac:dyDescent="0.15">
      <c r="A25" s="33"/>
      <c r="B25" s="36"/>
      <c r="C25" s="36"/>
      <c r="D25" s="36"/>
      <c r="E25" s="36"/>
      <c r="F25" s="36"/>
      <c r="G25" s="35"/>
      <c r="H25" s="114"/>
      <c r="I25" s="114"/>
      <c r="J25" s="114"/>
      <c r="K25" s="115"/>
      <c r="L25" s="114"/>
      <c r="M25" s="114"/>
      <c r="N25" s="114"/>
      <c r="O25" s="114"/>
      <c r="P25" s="114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103"/>
      <c r="CV25" s="103"/>
    </row>
    <row r="26" spans="1:100" ht="15.75" x14ac:dyDescent="0.15">
      <c r="A26" s="33"/>
      <c r="B26" s="36"/>
      <c r="C26" s="36"/>
      <c r="D26" s="36"/>
      <c r="E26" s="36"/>
      <c r="F26" s="36"/>
      <c r="G26" s="35"/>
      <c r="H26" s="114"/>
      <c r="I26" s="114"/>
      <c r="J26" s="114"/>
      <c r="K26" s="115"/>
      <c r="L26" s="114"/>
      <c r="M26" s="114"/>
      <c r="N26" s="114"/>
      <c r="O26" s="114"/>
      <c r="P26" s="114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103"/>
      <c r="CV26" s="103"/>
    </row>
    <row r="27" spans="1:100" ht="15.75" x14ac:dyDescent="0.15">
      <c r="A27" s="33"/>
      <c r="B27" s="36"/>
      <c r="C27" s="36"/>
      <c r="D27" s="36"/>
      <c r="E27" s="36"/>
      <c r="F27" s="36"/>
      <c r="G27" s="35"/>
      <c r="H27" s="114"/>
      <c r="I27" s="114"/>
      <c r="J27" s="114"/>
      <c r="K27" s="115"/>
      <c r="L27" s="114"/>
      <c r="M27" s="114"/>
      <c r="N27" s="114"/>
      <c r="O27" s="114"/>
      <c r="P27" s="114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</row>
    <row r="28" spans="1:100" ht="15.75" x14ac:dyDescent="0.15">
      <c r="A28" s="33"/>
      <c r="B28" s="36"/>
      <c r="C28" s="36"/>
      <c r="D28" s="36"/>
      <c r="E28" s="36"/>
      <c r="F28" s="36"/>
      <c r="G28" s="35"/>
      <c r="H28" s="114"/>
      <c r="I28" s="114"/>
      <c r="J28" s="114"/>
      <c r="K28" s="115"/>
      <c r="L28" s="114"/>
      <c r="M28" s="114"/>
      <c r="N28" s="114"/>
      <c r="O28" s="114"/>
      <c r="P28" s="114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</row>
    <row r="29" spans="1:100" ht="15.75" x14ac:dyDescent="0.15">
      <c r="A29" s="33"/>
      <c r="B29" s="36"/>
      <c r="C29" s="36"/>
      <c r="D29" s="36"/>
      <c r="E29" s="36"/>
      <c r="F29" s="36"/>
      <c r="G29" s="35"/>
      <c r="H29" s="114"/>
      <c r="I29" s="114"/>
      <c r="J29" s="114"/>
      <c r="K29" s="115"/>
      <c r="L29" s="114"/>
      <c r="M29" s="114"/>
      <c r="N29" s="114"/>
      <c r="O29" s="114"/>
      <c r="P29" s="114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103"/>
      <c r="CV29" s="103"/>
    </row>
    <row r="30" spans="1:100" ht="15.75" x14ac:dyDescent="0.15">
      <c r="A30" s="33"/>
      <c r="B30" s="36"/>
      <c r="C30" s="36"/>
      <c r="D30" s="36"/>
      <c r="E30" s="36"/>
      <c r="F30" s="36"/>
      <c r="G30" s="35"/>
      <c r="H30" s="114"/>
      <c r="I30" s="114"/>
      <c r="J30" s="114"/>
      <c r="K30" s="115"/>
      <c r="L30" s="114"/>
      <c r="M30" s="114"/>
      <c r="N30" s="114"/>
      <c r="O30" s="114"/>
      <c r="P30" s="114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103"/>
      <c r="CV30" s="103"/>
    </row>
    <row r="31" spans="1:100" ht="15.75" x14ac:dyDescent="0.15">
      <c r="A31" s="33"/>
      <c r="B31" s="36"/>
      <c r="C31" s="36"/>
      <c r="D31" s="36"/>
      <c r="E31" s="36"/>
      <c r="F31" s="36"/>
      <c r="G31" s="35"/>
      <c r="H31" s="114"/>
      <c r="I31" s="114"/>
      <c r="J31" s="114"/>
      <c r="K31" s="115"/>
      <c r="L31" s="114"/>
      <c r="M31" s="114"/>
      <c r="N31" s="114"/>
      <c r="O31" s="114"/>
      <c r="P31" s="114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</row>
    <row r="32" spans="1:100" ht="15.75" x14ac:dyDescent="0.15">
      <c r="A32" s="33"/>
      <c r="B32" s="36"/>
      <c r="C32" s="36"/>
      <c r="D32" s="36"/>
      <c r="E32" s="36"/>
      <c r="F32" s="36"/>
      <c r="G32" s="35"/>
      <c r="H32" s="114"/>
      <c r="I32" s="114"/>
      <c r="J32" s="114"/>
      <c r="K32" s="115"/>
      <c r="L32" s="114"/>
      <c r="M32" s="114"/>
      <c r="N32" s="114"/>
      <c r="O32" s="114"/>
      <c r="P32" s="114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</row>
    <row r="33" spans="1:100" ht="15.75" x14ac:dyDescent="0.15">
      <c r="A33" s="33"/>
      <c r="B33" s="36"/>
      <c r="C33" s="36"/>
      <c r="D33" s="36"/>
      <c r="E33" s="36"/>
      <c r="F33" s="36"/>
      <c r="G33" s="35"/>
      <c r="H33" s="114"/>
      <c r="I33" s="114"/>
      <c r="J33" s="114"/>
      <c r="K33" s="115"/>
      <c r="L33" s="114"/>
      <c r="M33" s="114"/>
      <c r="N33" s="114"/>
      <c r="O33" s="114"/>
      <c r="P33" s="114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103"/>
      <c r="CG33" s="103"/>
      <c r="CH33" s="103"/>
      <c r="CI33" s="103"/>
      <c r="CJ33" s="103"/>
      <c r="CK33" s="103"/>
      <c r="CL33" s="103"/>
      <c r="CM33" s="103"/>
      <c r="CN33" s="103"/>
      <c r="CO33" s="103"/>
      <c r="CP33" s="103"/>
      <c r="CQ33" s="103"/>
      <c r="CR33" s="103"/>
      <c r="CS33" s="103"/>
      <c r="CT33" s="103"/>
      <c r="CU33" s="103"/>
      <c r="CV33" s="103"/>
    </row>
    <row r="34" spans="1:100" ht="15.75" x14ac:dyDescent="0.15">
      <c r="A34" s="33"/>
      <c r="B34" s="36"/>
      <c r="C34" s="36"/>
      <c r="D34" s="36"/>
      <c r="E34" s="36"/>
      <c r="F34" s="36"/>
      <c r="G34" s="35"/>
      <c r="H34" s="114"/>
      <c r="I34" s="114"/>
      <c r="J34" s="114"/>
      <c r="K34" s="115"/>
      <c r="L34" s="114"/>
      <c r="M34" s="114"/>
      <c r="N34" s="114"/>
      <c r="O34" s="114"/>
      <c r="P34" s="114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103"/>
      <c r="BU34" s="103"/>
      <c r="BV34" s="103"/>
      <c r="BW34" s="103"/>
      <c r="BX34" s="103"/>
      <c r="BY34" s="103"/>
      <c r="BZ34" s="103"/>
      <c r="CA34" s="103"/>
      <c r="CB34" s="103"/>
      <c r="CC34" s="103"/>
      <c r="CD34" s="103"/>
      <c r="CE34" s="103"/>
      <c r="CF34" s="103"/>
      <c r="CG34" s="103"/>
      <c r="CH34" s="103"/>
      <c r="CI34" s="103"/>
      <c r="CJ34" s="103"/>
      <c r="CK34" s="103"/>
      <c r="CL34" s="103"/>
      <c r="CM34" s="103"/>
      <c r="CN34" s="103"/>
      <c r="CO34" s="103"/>
      <c r="CP34" s="103"/>
      <c r="CQ34" s="103"/>
      <c r="CR34" s="103"/>
      <c r="CS34" s="103"/>
      <c r="CT34" s="103"/>
      <c r="CU34" s="103"/>
      <c r="CV34" s="103"/>
    </row>
    <row r="35" spans="1:100" ht="15.75" x14ac:dyDescent="0.15">
      <c r="A35" s="33"/>
      <c r="B35" s="36"/>
      <c r="C35" s="36"/>
      <c r="D35" s="36"/>
      <c r="E35" s="36"/>
      <c r="F35" s="36"/>
      <c r="G35" s="35"/>
      <c r="H35" s="114"/>
      <c r="I35" s="114"/>
      <c r="J35" s="114"/>
      <c r="K35" s="115"/>
      <c r="L35" s="114"/>
      <c r="M35" s="114"/>
      <c r="N35" s="114"/>
      <c r="O35" s="114"/>
      <c r="P35" s="114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3"/>
      <c r="CV35" s="103"/>
    </row>
    <row r="36" spans="1:100" ht="15.75" x14ac:dyDescent="0.15">
      <c r="A36" s="33"/>
      <c r="B36" s="36"/>
      <c r="C36" s="36"/>
      <c r="D36" s="36"/>
      <c r="E36" s="36"/>
      <c r="F36" s="36"/>
      <c r="G36" s="35"/>
      <c r="H36" s="114"/>
      <c r="I36" s="114"/>
      <c r="J36" s="114"/>
      <c r="K36" s="115"/>
      <c r="L36" s="114"/>
      <c r="M36" s="114"/>
      <c r="N36" s="114"/>
      <c r="O36" s="114"/>
      <c r="P36" s="114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O36" s="103"/>
      <c r="AP36" s="103"/>
      <c r="AQ36" s="103"/>
      <c r="AR36" s="103"/>
      <c r="AS36" s="103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3"/>
      <c r="CB36" s="103"/>
      <c r="CC36" s="103"/>
      <c r="CD36" s="103"/>
      <c r="CE36" s="103"/>
      <c r="CF36" s="103"/>
      <c r="CG36" s="103"/>
      <c r="CH36" s="103"/>
      <c r="CI36" s="103"/>
      <c r="CJ36" s="103"/>
      <c r="CK36" s="103"/>
      <c r="CL36" s="103"/>
      <c r="CM36" s="103"/>
      <c r="CN36" s="103"/>
      <c r="CO36" s="103"/>
      <c r="CP36" s="103"/>
      <c r="CQ36" s="103"/>
      <c r="CR36" s="103"/>
      <c r="CS36" s="103"/>
      <c r="CT36" s="103"/>
      <c r="CU36" s="103"/>
      <c r="CV36" s="103"/>
    </row>
    <row r="37" spans="1:100" ht="15.75" x14ac:dyDescent="0.15">
      <c r="A37" s="33"/>
      <c r="B37" s="36"/>
      <c r="C37" s="36"/>
      <c r="D37" s="36"/>
      <c r="E37" s="36"/>
      <c r="F37" s="36"/>
      <c r="G37" s="35"/>
      <c r="H37" s="114"/>
      <c r="I37" s="114"/>
      <c r="J37" s="114"/>
      <c r="K37" s="115"/>
      <c r="L37" s="114"/>
      <c r="M37" s="114"/>
      <c r="N37" s="114"/>
      <c r="O37" s="114"/>
      <c r="P37" s="114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3"/>
      <c r="BX37" s="103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3"/>
      <c r="CJ37" s="103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3"/>
      <c r="CV37" s="103"/>
    </row>
    <row r="38" spans="1:100" ht="15.75" x14ac:dyDescent="0.15">
      <c r="A38" s="33"/>
      <c r="B38" s="36"/>
      <c r="C38" s="36"/>
      <c r="D38" s="36"/>
      <c r="E38" s="36"/>
      <c r="F38" s="36"/>
      <c r="G38" s="35"/>
      <c r="H38" s="114"/>
      <c r="I38" s="114"/>
      <c r="J38" s="114"/>
      <c r="K38" s="115"/>
      <c r="L38" s="114"/>
      <c r="M38" s="114"/>
      <c r="N38" s="114"/>
      <c r="O38" s="114"/>
      <c r="P38" s="114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103"/>
      <c r="BS38" s="103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103"/>
      <c r="CG38" s="103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103"/>
      <c r="CU38" s="103"/>
      <c r="CV38" s="103"/>
    </row>
    <row r="39" spans="1:100" ht="15.75" x14ac:dyDescent="0.15">
      <c r="A39" s="33"/>
      <c r="B39" s="36"/>
      <c r="C39" s="36"/>
      <c r="D39" s="36"/>
      <c r="E39" s="36"/>
      <c r="F39" s="36"/>
      <c r="G39" s="35"/>
      <c r="H39" s="114"/>
      <c r="I39" s="114"/>
      <c r="J39" s="114"/>
      <c r="K39" s="115"/>
      <c r="L39" s="114"/>
      <c r="M39" s="114"/>
      <c r="N39" s="114"/>
      <c r="O39" s="114"/>
      <c r="P39" s="114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03"/>
      <c r="AD39" s="103"/>
      <c r="AE39" s="103"/>
      <c r="AF39" s="103"/>
      <c r="AG39" s="103"/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3"/>
      <c r="CG39" s="103"/>
      <c r="CH39" s="103"/>
      <c r="CI39" s="103"/>
      <c r="CJ39" s="103"/>
      <c r="CK39" s="103"/>
      <c r="CL39" s="103"/>
      <c r="CM39" s="103"/>
      <c r="CN39" s="103"/>
      <c r="CO39" s="103"/>
      <c r="CP39" s="103"/>
      <c r="CQ39" s="103"/>
      <c r="CR39" s="103"/>
      <c r="CS39" s="103"/>
      <c r="CT39" s="103"/>
      <c r="CU39" s="103"/>
      <c r="CV39" s="103"/>
    </row>
    <row r="40" spans="1:100" ht="15.75" x14ac:dyDescent="0.15">
      <c r="A40" s="33"/>
      <c r="B40" s="36"/>
      <c r="C40" s="36"/>
      <c r="D40" s="36"/>
      <c r="E40" s="36"/>
      <c r="F40" s="36"/>
      <c r="G40" s="35"/>
      <c r="H40" s="114"/>
      <c r="I40" s="114"/>
      <c r="J40" s="114"/>
      <c r="K40" s="115"/>
      <c r="L40" s="114"/>
      <c r="M40" s="114"/>
      <c r="N40" s="114"/>
      <c r="O40" s="114"/>
      <c r="P40" s="114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BZ40" s="103"/>
      <c r="CA40" s="103"/>
      <c r="CB40" s="103"/>
      <c r="CC40" s="103"/>
      <c r="CD40" s="103"/>
      <c r="CE40" s="103"/>
      <c r="CF40" s="103"/>
      <c r="CG40" s="103"/>
      <c r="CH40" s="103"/>
      <c r="CI40" s="103"/>
      <c r="CJ40" s="103"/>
      <c r="CK40" s="103"/>
      <c r="CL40" s="103"/>
      <c r="CM40" s="103"/>
      <c r="CN40" s="103"/>
      <c r="CO40" s="103"/>
      <c r="CP40" s="103"/>
      <c r="CQ40" s="103"/>
      <c r="CR40" s="103"/>
      <c r="CS40" s="103"/>
      <c r="CT40" s="103"/>
      <c r="CU40" s="103"/>
      <c r="CV40" s="103"/>
    </row>
    <row r="41" spans="1:100" ht="15.75" x14ac:dyDescent="0.15">
      <c r="A41" s="33"/>
      <c r="B41" s="36"/>
      <c r="C41" s="36"/>
      <c r="D41" s="36"/>
      <c r="E41" s="36"/>
      <c r="F41" s="36"/>
      <c r="G41" s="35"/>
      <c r="H41" s="114"/>
      <c r="I41" s="114"/>
      <c r="J41" s="114"/>
      <c r="K41" s="115"/>
      <c r="L41" s="114"/>
      <c r="M41" s="114"/>
      <c r="N41" s="114"/>
      <c r="O41" s="114"/>
      <c r="P41" s="114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  <c r="CJ41" s="103"/>
      <c r="CK41" s="103"/>
      <c r="CL41" s="103"/>
      <c r="CM41" s="103"/>
      <c r="CN41" s="103"/>
      <c r="CO41" s="103"/>
      <c r="CP41" s="103"/>
      <c r="CQ41" s="103"/>
      <c r="CR41" s="103"/>
      <c r="CS41" s="103"/>
      <c r="CT41" s="103"/>
      <c r="CU41" s="103"/>
      <c r="CV41" s="103"/>
    </row>
    <row r="42" spans="1:100" ht="15.75" x14ac:dyDescent="0.15">
      <c r="A42" s="33"/>
      <c r="B42" s="36"/>
      <c r="C42" s="36"/>
      <c r="D42" s="36"/>
      <c r="E42" s="36"/>
      <c r="F42" s="36"/>
      <c r="G42" s="35"/>
      <c r="H42" s="114"/>
      <c r="I42" s="114"/>
      <c r="J42" s="114"/>
      <c r="K42" s="115"/>
      <c r="L42" s="114"/>
      <c r="M42" s="114"/>
      <c r="N42" s="114"/>
      <c r="O42" s="114"/>
      <c r="P42" s="114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  <c r="BV42" s="103"/>
      <c r="BW42" s="103"/>
      <c r="BX42" s="103"/>
      <c r="BY42" s="103"/>
      <c r="BZ42" s="103"/>
      <c r="CA42" s="103"/>
      <c r="CB42" s="103"/>
      <c r="CC42" s="103"/>
      <c r="CD42" s="103"/>
      <c r="CE42" s="103"/>
      <c r="CF42" s="103"/>
      <c r="CG42" s="103"/>
      <c r="CH42" s="103"/>
      <c r="CI42" s="103"/>
      <c r="CJ42" s="103"/>
      <c r="CK42" s="103"/>
      <c r="CL42" s="103"/>
      <c r="CM42" s="103"/>
      <c r="CN42" s="103"/>
      <c r="CO42" s="103"/>
      <c r="CP42" s="103"/>
      <c r="CQ42" s="103"/>
      <c r="CR42" s="103"/>
      <c r="CS42" s="103"/>
      <c r="CT42" s="103"/>
      <c r="CU42" s="103"/>
      <c r="CV42" s="103"/>
    </row>
    <row r="43" spans="1:100" ht="15.75" x14ac:dyDescent="0.15">
      <c r="A43" s="33"/>
      <c r="B43" s="36"/>
      <c r="C43" s="36"/>
      <c r="D43" s="36"/>
      <c r="E43" s="36"/>
      <c r="F43" s="36"/>
      <c r="G43" s="35"/>
      <c r="H43" s="114"/>
      <c r="I43" s="114"/>
      <c r="J43" s="114"/>
      <c r="K43" s="115"/>
      <c r="L43" s="114"/>
      <c r="M43" s="114"/>
      <c r="N43" s="114"/>
      <c r="O43" s="114"/>
      <c r="P43" s="114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03"/>
      <c r="AD43" s="103"/>
      <c r="AE43" s="103"/>
      <c r="AF43" s="103"/>
      <c r="AG43" s="103"/>
      <c r="AH43" s="103"/>
      <c r="AI43" s="103"/>
      <c r="AJ43" s="103"/>
      <c r="AK43" s="103"/>
      <c r="AL43" s="103"/>
      <c r="AM43" s="103"/>
      <c r="AN43" s="103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</row>
    <row r="44" spans="1:100" ht="15.75" x14ac:dyDescent="0.15">
      <c r="A44" s="33"/>
      <c r="B44" s="36"/>
      <c r="C44" s="36"/>
      <c r="D44" s="36"/>
      <c r="E44" s="36"/>
      <c r="F44" s="36"/>
      <c r="G44" s="35"/>
      <c r="H44" s="114"/>
      <c r="I44" s="114"/>
      <c r="J44" s="114"/>
      <c r="K44" s="115"/>
      <c r="L44" s="114"/>
      <c r="M44" s="114"/>
      <c r="N44" s="114"/>
      <c r="O44" s="114"/>
      <c r="P44" s="114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</row>
    <row r="45" spans="1:100" ht="15.75" x14ac:dyDescent="0.15">
      <c r="A45" s="33"/>
      <c r="B45" s="36"/>
      <c r="C45" s="36"/>
      <c r="D45" s="36"/>
      <c r="E45" s="36"/>
      <c r="F45" s="36"/>
      <c r="G45" s="35"/>
      <c r="H45" s="114"/>
      <c r="I45" s="114"/>
      <c r="J45" s="114"/>
      <c r="K45" s="115"/>
      <c r="L45" s="114"/>
      <c r="M45" s="114"/>
      <c r="N45" s="114"/>
      <c r="O45" s="114"/>
      <c r="P45" s="114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</row>
    <row r="46" spans="1:100" ht="15.75" x14ac:dyDescent="0.15">
      <c r="A46" s="33"/>
      <c r="B46" s="36"/>
      <c r="C46" s="36"/>
      <c r="D46" s="36"/>
      <c r="E46" s="36"/>
      <c r="F46" s="36"/>
      <c r="G46" s="35"/>
      <c r="H46" s="114"/>
      <c r="I46" s="114"/>
      <c r="J46" s="114"/>
      <c r="K46" s="115"/>
      <c r="L46" s="114"/>
      <c r="M46" s="114"/>
      <c r="N46" s="114"/>
      <c r="O46" s="114"/>
      <c r="P46" s="114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03"/>
      <c r="AD46" s="103"/>
      <c r="AE46" s="103"/>
      <c r="AF46" s="103"/>
      <c r="AG46" s="103"/>
      <c r="AH46" s="103"/>
      <c r="AI46" s="103"/>
      <c r="AJ46" s="103"/>
      <c r="AK46" s="103"/>
      <c r="AL46" s="103"/>
      <c r="AM46" s="103"/>
      <c r="AN46" s="103"/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</row>
    <row r="47" spans="1:100" ht="15.75" x14ac:dyDescent="0.15">
      <c r="A47" s="33"/>
      <c r="B47" s="36"/>
      <c r="C47" s="36"/>
      <c r="D47" s="36"/>
      <c r="E47" s="36"/>
      <c r="F47" s="36"/>
      <c r="G47" s="35"/>
      <c r="H47" s="114"/>
      <c r="I47" s="114"/>
      <c r="J47" s="114"/>
      <c r="K47" s="115"/>
      <c r="L47" s="114"/>
      <c r="M47" s="114"/>
      <c r="N47" s="114"/>
      <c r="O47" s="114"/>
      <c r="P47" s="114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03"/>
      <c r="AD47" s="103"/>
      <c r="AE47" s="103"/>
      <c r="AF47" s="103"/>
      <c r="AG47" s="103"/>
      <c r="AH47" s="103"/>
      <c r="AI47" s="103"/>
      <c r="AJ47" s="103"/>
      <c r="AK47" s="103"/>
      <c r="AL47" s="103"/>
      <c r="AM47" s="103"/>
      <c r="AN47" s="103"/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  <c r="BP47" s="103"/>
      <c r="BQ47" s="103"/>
      <c r="BR47" s="103"/>
      <c r="BS47" s="103"/>
      <c r="BT47" s="103"/>
      <c r="BU47" s="103"/>
      <c r="BV47" s="103"/>
      <c r="BW47" s="103"/>
      <c r="BX47" s="103"/>
      <c r="BY47" s="103"/>
      <c r="BZ47" s="103"/>
      <c r="CA47" s="103"/>
      <c r="CB47" s="103"/>
      <c r="CC47" s="103"/>
      <c r="CD47" s="103"/>
      <c r="CE47" s="103"/>
      <c r="CF47" s="103"/>
      <c r="CG47" s="103"/>
      <c r="CH47" s="103"/>
      <c r="CI47" s="103"/>
      <c r="CJ47" s="103"/>
      <c r="CK47" s="103"/>
      <c r="CL47" s="103"/>
      <c r="CM47" s="103"/>
      <c r="CN47" s="103"/>
      <c r="CO47" s="103"/>
      <c r="CP47" s="103"/>
      <c r="CQ47" s="103"/>
      <c r="CR47" s="103"/>
      <c r="CS47" s="103"/>
      <c r="CT47" s="103"/>
      <c r="CU47" s="103"/>
      <c r="CV47" s="103"/>
    </row>
    <row r="48" spans="1:100" ht="15.75" x14ac:dyDescent="0.15">
      <c r="A48" s="33"/>
      <c r="B48" s="36"/>
      <c r="C48" s="36"/>
      <c r="D48" s="36"/>
      <c r="E48" s="36"/>
      <c r="F48" s="36"/>
      <c r="G48" s="35"/>
      <c r="H48" s="114"/>
      <c r="I48" s="114"/>
      <c r="J48" s="114"/>
      <c r="K48" s="115"/>
      <c r="L48" s="114"/>
      <c r="M48" s="114"/>
      <c r="N48" s="114"/>
      <c r="O48" s="114"/>
      <c r="P48" s="114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03"/>
      <c r="AD48" s="103"/>
      <c r="AE48" s="103"/>
      <c r="AF48" s="103"/>
      <c r="AG48" s="103"/>
      <c r="AH48" s="103"/>
      <c r="AI48" s="103"/>
      <c r="AJ48" s="103"/>
      <c r="AK48" s="103"/>
      <c r="AL48" s="103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  <c r="CJ48" s="103"/>
      <c r="CK48" s="103"/>
      <c r="CL48" s="103"/>
      <c r="CM48" s="103"/>
      <c r="CN48" s="103"/>
      <c r="CO48" s="103"/>
      <c r="CP48" s="103"/>
      <c r="CQ48" s="103"/>
      <c r="CR48" s="103"/>
      <c r="CS48" s="103"/>
      <c r="CT48" s="103"/>
      <c r="CU48" s="103"/>
      <c r="CV48" s="103"/>
    </row>
    <row r="49" spans="1:100" ht="15.75" x14ac:dyDescent="0.15">
      <c r="A49" s="33"/>
      <c r="B49" s="36"/>
      <c r="C49" s="36"/>
      <c r="D49" s="36"/>
      <c r="E49" s="36"/>
      <c r="F49" s="36"/>
      <c r="G49" s="35"/>
      <c r="H49" s="114"/>
      <c r="I49" s="114"/>
      <c r="J49" s="114"/>
      <c r="K49" s="115"/>
      <c r="L49" s="114"/>
      <c r="M49" s="114"/>
      <c r="N49" s="114"/>
      <c r="O49" s="114"/>
      <c r="P49" s="114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03"/>
      <c r="AD49" s="103"/>
      <c r="AE49" s="103"/>
      <c r="AF49" s="103"/>
      <c r="AG49" s="103"/>
      <c r="AH49" s="103"/>
      <c r="AI49" s="103"/>
      <c r="AJ49" s="103"/>
      <c r="AK49" s="103"/>
      <c r="AL49" s="103"/>
      <c r="AM49" s="103"/>
      <c r="AN49" s="103"/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  <c r="BY49" s="103"/>
      <c r="BZ49" s="103"/>
      <c r="CA49" s="103"/>
      <c r="CB49" s="103"/>
      <c r="CC49" s="103"/>
      <c r="CD49" s="103"/>
      <c r="CE49" s="103"/>
      <c r="CF49" s="103"/>
      <c r="CG49" s="103"/>
      <c r="CH49" s="103"/>
      <c r="CI49" s="103"/>
      <c r="CJ49" s="103"/>
      <c r="CK49" s="103"/>
      <c r="CL49" s="103"/>
      <c r="CM49" s="103"/>
      <c r="CN49" s="103"/>
      <c r="CO49" s="103"/>
      <c r="CP49" s="103"/>
      <c r="CQ49" s="103"/>
      <c r="CR49" s="103"/>
      <c r="CS49" s="103"/>
      <c r="CT49" s="103"/>
      <c r="CU49" s="103"/>
      <c r="CV49" s="103"/>
    </row>
    <row r="50" spans="1:100" ht="15.75" x14ac:dyDescent="0.15">
      <c r="A50" s="33"/>
      <c r="B50" s="36"/>
      <c r="C50" s="36"/>
      <c r="D50" s="36"/>
      <c r="E50" s="36"/>
      <c r="F50" s="36"/>
      <c r="G50" s="35"/>
      <c r="H50" s="114"/>
      <c r="I50" s="114"/>
      <c r="J50" s="114"/>
      <c r="K50" s="115"/>
      <c r="L50" s="114"/>
      <c r="M50" s="114"/>
      <c r="N50" s="114"/>
      <c r="O50" s="114"/>
      <c r="P50" s="114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  <c r="CF50" s="103"/>
      <c r="CG50" s="103"/>
      <c r="CH50" s="103"/>
      <c r="CI50" s="103"/>
      <c r="CJ50" s="103"/>
      <c r="CK50" s="103"/>
      <c r="CL50" s="103"/>
      <c r="CM50" s="103"/>
      <c r="CN50" s="103"/>
      <c r="CO50" s="103"/>
      <c r="CP50" s="103"/>
      <c r="CQ50" s="103"/>
      <c r="CR50" s="103"/>
      <c r="CS50" s="103"/>
      <c r="CT50" s="103"/>
      <c r="CU50" s="103"/>
      <c r="CV50" s="103"/>
    </row>
    <row r="51" spans="1:100" ht="15.75" x14ac:dyDescent="0.15">
      <c r="A51" s="33"/>
      <c r="B51" s="36"/>
      <c r="C51" s="36"/>
      <c r="D51" s="36"/>
      <c r="E51" s="36"/>
      <c r="F51" s="36"/>
      <c r="G51" s="35"/>
      <c r="H51" s="114"/>
      <c r="I51" s="114"/>
      <c r="J51" s="114"/>
      <c r="K51" s="115"/>
      <c r="L51" s="114"/>
      <c r="M51" s="114"/>
      <c r="N51" s="114"/>
      <c r="O51" s="114"/>
      <c r="P51" s="114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03"/>
      <c r="AD51" s="103"/>
      <c r="AE51" s="103"/>
      <c r="AF51" s="103"/>
      <c r="AG51" s="103"/>
      <c r="AH51" s="103"/>
      <c r="AI51" s="103"/>
      <c r="AJ51" s="103"/>
      <c r="AK51" s="103"/>
      <c r="AL51" s="103"/>
      <c r="AM51" s="103"/>
      <c r="AN51" s="103"/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  <c r="BY51" s="103"/>
      <c r="BZ51" s="103"/>
      <c r="CA51" s="103"/>
      <c r="CB51" s="103"/>
      <c r="CC51" s="103"/>
      <c r="CD51" s="103"/>
      <c r="CE51" s="103"/>
      <c r="CF51" s="103"/>
      <c r="CG51" s="103"/>
      <c r="CH51" s="103"/>
      <c r="CI51" s="103"/>
      <c r="CJ51" s="103"/>
      <c r="CK51" s="103"/>
      <c r="CL51" s="103"/>
      <c r="CM51" s="103"/>
      <c r="CN51" s="103"/>
      <c r="CO51" s="103"/>
      <c r="CP51" s="103"/>
      <c r="CQ51" s="103"/>
      <c r="CR51" s="103"/>
      <c r="CS51" s="103"/>
      <c r="CT51" s="103"/>
      <c r="CU51" s="103"/>
      <c r="CV51" s="103"/>
    </row>
    <row r="52" spans="1:100" ht="15.75" x14ac:dyDescent="0.15">
      <c r="A52" s="33"/>
      <c r="B52" s="36"/>
      <c r="C52" s="36"/>
      <c r="D52" s="36"/>
      <c r="E52" s="36"/>
      <c r="F52" s="36"/>
      <c r="G52" s="35"/>
      <c r="H52" s="114"/>
      <c r="I52" s="114"/>
      <c r="J52" s="114"/>
      <c r="K52" s="115"/>
      <c r="L52" s="114"/>
      <c r="M52" s="114"/>
      <c r="N52" s="114"/>
      <c r="O52" s="114"/>
      <c r="P52" s="114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03"/>
      <c r="AD52" s="103"/>
      <c r="AE52" s="103"/>
      <c r="AF52" s="103"/>
      <c r="AG52" s="103"/>
      <c r="AH52" s="103"/>
      <c r="AI52" s="103"/>
      <c r="AJ52" s="103"/>
      <c r="AK52" s="103"/>
      <c r="AL52" s="103"/>
      <c r="AM52" s="103"/>
      <c r="AN52" s="103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/>
      <c r="CF52" s="103"/>
      <c r="CG52" s="103"/>
      <c r="CH52" s="103"/>
      <c r="CI52" s="103"/>
      <c r="CJ52" s="103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</row>
    <row r="53" spans="1:100" ht="15.75" x14ac:dyDescent="0.15">
      <c r="A53" s="33"/>
      <c r="B53" s="36"/>
      <c r="C53" s="36"/>
      <c r="D53" s="36"/>
      <c r="E53" s="36"/>
      <c r="F53" s="36"/>
      <c r="G53" s="35"/>
      <c r="H53" s="114"/>
      <c r="I53" s="114"/>
      <c r="J53" s="114"/>
      <c r="K53" s="115"/>
      <c r="L53" s="114"/>
      <c r="M53" s="114"/>
      <c r="N53" s="114"/>
      <c r="O53" s="114"/>
      <c r="P53" s="114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03"/>
      <c r="AD53" s="103"/>
      <c r="AE53" s="103"/>
      <c r="AF53" s="103"/>
      <c r="AG53" s="103"/>
      <c r="AH53" s="103"/>
      <c r="AI53" s="103"/>
      <c r="AJ53" s="103"/>
      <c r="AK53" s="103"/>
      <c r="AL53" s="103"/>
      <c r="AM53" s="103"/>
      <c r="AN53" s="103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  <c r="CJ53" s="103"/>
      <c r="CK53" s="103"/>
      <c r="CL53" s="103"/>
      <c r="CM53" s="103"/>
      <c r="CN53" s="103"/>
      <c r="CO53" s="103"/>
      <c r="CP53" s="103"/>
      <c r="CQ53" s="103"/>
      <c r="CR53" s="103"/>
      <c r="CS53" s="103"/>
      <c r="CT53" s="103"/>
      <c r="CU53" s="103"/>
      <c r="CV53" s="103"/>
    </row>
    <row r="54" spans="1:100" ht="15.75" x14ac:dyDescent="0.15">
      <c r="A54" s="33"/>
      <c r="B54" s="36"/>
      <c r="C54" s="36"/>
      <c r="D54" s="36"/>
      <c r="E54" s="36"/>
      <c r="F54" s="36"/>
      <c r="G54" s="35"/>
      <c r="H54" s="114"/>
      <c r="I54" s="114"/>
      <c r="J54" s="114"/>
      <c r="K54" s="115"/>
      <c r="L54" s="114"/>
      <c r="M54" s="114"/>
      <c r="N54" s="114"/>
      <c r="O54" s="114"/>
      <c r="P54" s="114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  <c r="CJ54" s="103"/>
      <c r="CK54" s="103"/>
      <c r="CL54" s="103"/>
      <c r="CM54" s="103"/>
      <c r="CN54" s="103"/>
      <c r="CO54" s="103"/>
      <c r="CP54" s="103"/>
      <c r="CQ54" s="103"/>
      <c r="CR54" s="103"/>
      <c r="CS54" s="103"/>
      <c r="CT54" s="103"/>
      <c r="CU54" s="103"/>
      <c r="CV54" s="103"/>
    </row>
    <row r="55" spans="1:100" ht="15.75" x14ac:dyDescent="0.15">
      <c r="A55" s="33"/>
      <c r="B55" s="36"/>
      <c r="C55" s="36"/>
      <c r="D55" s="36"/>
      <c r="E55" s="36"/>
      <c r="F55" s="36"/>
      <c r="G55" s="35"/>
      <c r="H55" s="114"/>
      <c r="I55" s="114"/>
      <c r="J55" s="114"/>
      <c r="K55" s="115"/>
      <c r="L55" s="114"/>
      <c r="M55" s="114"/>
      <c r="N55" s="114"/>
      <c r="O55" s="114"/>
      <c r="P55" s="114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</row>
    <row r="56" spans="1:100" ht="15.75" x14ac:dyDescent="0.15">
      <c r="A56" s="33"/>
      <c r="B56" s="36"/>
      <c r="C56" s="36"/>
      <c r="D56" s="36"/>
      <c r="E56" s="36"/>
      <c r="F56" s="36"/>
      <c r="G56" s="35"/>
      <c r="H56" s="114"/>
      <c r="I56" s="114"/>
      <c r="J56" s="114"/>
      <c r="K56" s="115"/>
      <c r="L56" s="114"/>
      <c r="M56" s="114"/>
      <c r="N56" s="114"/>
      <c r="O56" s="114"/>
      <c r="P56" s="114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3"/>
      <c r="CS56" s="103"/>
      <c r="CT56" s="103"/>
      <c r="CU56" s="103"/>
      <c r="CV56" s="103"/>
    </row>
    <row r="57" spans="1:100" ht="15.75" x14ac:dyDescent="0.15">
      <c r="A57" s="33"/>
      <c r="B57" s="36"/>
      <c r="C57" s="36"/>
      <c r="D57" s="36"/>
      <c r="E57" s="36"/>
      <c r="F57" s="36"/>
      <c r="G57" s="35"/>
      <c r="H57" s="114"/>
      <c r="I57" s="114"/>
      <c r="J57" s="114"/>
      <c r="K57" s="115"/>
      <c r="L57" s="114"/>
      <c r="M57" s="114"/>
      <c r="N57" s="114"/>
      <c r="O57" s="114"/>
      <c r="P57" s="114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03"/>
      <c r="AD57" s="103"/>
      <c r="AE57" s="103"/>
      <c r="AF57" s="103"/>
      <c r="AG57" s="103"/>
      <c r="AH57" s="103"/>
      <c r="AI57" s="103"/>
      <c r="AJ57" s="103"/>
      <c r="AK57" s="103"/>
      <c r="AL57" s="103"/>
      <c r="AM57" s="103"/>
      <c r="AN57" s="103"/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  <c r="CJ57" s="103"/>
      <c r="CK57" s="103"/>
      <c r="CL57" s="103"/>
      <c r="CM57" s="103"/>
      <c r="CN57" s="103"/>
      <c r="CO57" s="103"/>
      <c r="CP57" s="103"/>
      <c r="CQ57" s="103"/>
      <c r="CR57" s="103"/>
      <c r="CS57" s="103"/>
      <c r="CT57" s="103"/>
      <c r="CU57" s="103"/>
      <c r="CV57" s="103"/>
    </row>
    <row r="58" spans="1:100" ht="15.75" x14ac:dyDescent="0.15">
      <c r="A58" s="33"/>
      <c r="B58" s="36"/>
      <c r="C58" s="36"/>
      <c r="D58" s="36"/>
      <c r="E58" s="36"/>
      <c r="F58" s="36"/>
      <c r="G58" s="35"/>
      <c r="H58" s="114"/>
      <c r="I58" s="114"/>
      <c r="J58" s="114"/>
      <c r="K58" s="115"/>
      <c r="L58" s="114"/>
      <c r="M58" s="114"/>
      <c r="N58" s="114"/>
      <c r="O58" s="114"/>
      <c r="P58" s="114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</row>
    <row r="59" spans="1:100" ht="15.75" x14ac:dyDescent="0.15">
      <c r="A59" s="33"/>
      <c r="B59" s="36"/>
      <c r="C59" s="36"/>
      <c r="D59" s="36"/>
      <c r="E59" s="36"/>
      <c r="F59" s="36"/>
      <c r="G59" s="35"/>
      <c r="H59" s="114"/>
      <c r="I59" s="114"/>
      <c r="J59" s="114"/>
      <c r="K59" s="115"/>
      <c r="L59" s="114"/>
      <c r="M59" s="114"/>
      <c r="N59" s="114"/>
      <c r="O59" s="114"/>
      <c r="P59" s="114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103"/>
      <c r="CH59" s="103"/>
      <c r="CI59" s="103"/>
      <c r="CJ59" s="103"/>
      <c r="CK59" s="103"/>
      <c r="CL59" s="103"/>
      <c r="CM59" s="103"/>
      <c r="CN59" s="103"/>
      <c r="CO59" s="103"/>
      <c r="CP59" s="103"/>
      <c r="CQ59" s="103"/>
      <c r="CR59" s="103"/>
      <c r="CS59" s="103"/>
      <c r="CT59" s="103"/>
      <c r="CU59" s="103"/>
      <c r="CV59" s="103"/>
    </row>
    <row r="60" spans="1:100" ht="15.75" x14ac:dyDescent="0.15">
      <c r="A60" s="33"/>
      <c r="B60" s="36"/>
      <c r="C60" s="36"/>
      <c r="D60" s="36"/>
      <c r="E60" s="36"/>
      <c r="F60" s="36"/>
      <c r="G60" s="35"/>
      <c r="H60" s="114"/>
      <c r="I60" s="114"/>
      <c r="J60" s="114"/>
      <c r="K60" s="115"/>
      <c r="L60" s="114"/>
      <c r="M60" s="114"/>
      <c r="N60" s="114"/>
      <c r="O60" s="114"/>
      <c r="P60" s="114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</row>
    <row r="61" spans="1:100" ht="15.75" x14ac:dyDescent="0.15">
      <c r="A61" s="33"/>
      <c r="B61" s="36"/>
      <c r="C61" s="36"/>
      <c r="D61" s="36"/>
      <c r="E61" s="36"/>
      <c r="F61" s="36"/>
      <c r="G61" s="35"/>
      <c r="H61" s="114"/>
      <c r="I61" s="114"/>
      <c r="J61" s="114"/>
      <c r="K61" s="115"/>
      <c r="L61" s="114"/>
      <c r="M61" s="114"/>
      <c r="N61" s="114"/>
      <c r="O61" s="114"/>
      <c r="P61" s="114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</row>
    <row r="62" spans="1:100" ht="15.75" x14ac:dyDescent="0.15">
      <c r="A62" s="33"/>
      <c r="B62" s="36"/>
      <c r="C62" s="36"/>
      <c r="D62" s="36"/>
      <c r="E62" s="36"/>
      <c r="F62" s="36"/>
      <c r="G62" s="35"/>
      <c r="H62" s="114"/>
      <c r="I62" s="114"/>
      <c r="J62" s="114"/>
      <c r="K62" s="115"/>
      <c r="L62" s="114"/>
      <c r="M62" s="114"/>
      <c r="N62" s="114"/>
      <c r="O62" s="114"/>
      <c r="P62" s="114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  <c r="CJ62" s="103"/>
      <c r="CK62" s="103"/>
      <c r="CL62" s="103"/>
      <c r="CM62" s="103"/>
      <c r="CN62" s="103"/>
      <c r="CO62" s="103"/>
      <c r="CP62" s="103"/>
      <c r="CQ62" s="103"/>
      <c r="CR62" s="103"/>
      <c r="CS62" s="103"/>
      <c r="CT62" s="103"/>
      <c r="CU62" s="103"/>
      <c r="CV62" s="103"/>
    </row>
    <row r="63" spans="1:100" ht="15.75" x14ac:dyDescent="0.15">
      <c r="A63" s="33"/>
      <c r="B63" s="36"/>
      <c r="C63" s="36"/>
      <c r="D63" s="36"/>
      <c r="E63" s="36"/>
      <c r="F63" s="36"/>
      <c r="G63" s="35"/>
      <c r="H63" s="114"/>
      <c r="I63" s="114"/>
      <c r="J63" s="114"/>
      <c r="K63" s="115"/>
      <c r="L63" s="114"/>
      <c r="M63" s="114"/>
      <c r="N63" s="114"/>
      <c r="O63" s="114"/>
      <c r="P63" s="114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  <c r="CJ63" s="103"/>
      <c r="CK63" s="103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</row>
    <row r="64" spans="1:100" ht="15.75" x14ac:dyDescent="0.15">
      <c r="A64" s="33"/>
      <c r="B64" s="36"/>
      <c r="C64" s="36"/>
      <c r="D64" s="36"/>
      <c r="E64" s="36"/>
      <c r="F64" s="36"/>
      <c r="G64" s="35"/>
      <c r="H64" s="114"/>
      <c r="I64" s="114"/>
      <c r="J64" s="114"/>
      <c r="K64" s="115"/>
      <c r="L64" s="114"/>
      <c r="M64" s="114"/>
      <c r="N64" s="114"/>
      <c r="O64" s="114"/>
      <c r="P64" s="114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03"/>
      <c r="AD64" s="103"/>
      <c r="AE64" s="103"/>
      <c r="AF64" s="103"/>
      <c r="AG64" s="103"/>
      <c r="AH64" s="103"/>
      <c r="AI64" s="103"/>
      <c r="AJ64" s="103"/>
      <c r="AK64" s="103"/>
      <c r="AL64" s="103"/>
      <c r="AM64" s="103"/>
      <c r="AN64" s="103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  <c r="CJ64" s="103"/>
      <c r="CK64" s="103"/>
      <c r="CL64" s="103"/>
      <c r="CM64" s="103"/>
      <c r="CN64" s="103"/>
      <c r="CO64" s="103"/>
      <c r="CP64" s="103"/>
      <c r="CQ64" s="103"/>
      <c r="CR64" s="103"/>
      <c r="CS64" s="103"/>
      <c r="CT64" s="103"/>
      <c r="CU64" s="103"/>
      <c r="CV64" s="103"/>
    </row>
    <row r="65" spans="1:100" ht="15.75" x14ac:dyDescent="0.15">
      <c r="A65" s="33"/>
      <c r="B65" s="36"/>
      <c r="C65" s="36"/>
      <c r="D65" s="36"/>
      <c r="E65" s="36"/>
      <c r="F65" s="36"/>
      <c r="G65" s="35"/>
      <c r="H65" s="114"/>
      <c r="I65" s="114"/>
      <c r="J65" s="114"/>
      <c r="K65" s="115"/>
      <c r="L65" s="114"/>
      <c r="M65" s="114"/>
      <c r="N65" s="114"/>
      <c r="O65" s="114"/>
      <c r="P65" s="114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03"/>
      <c r="AD65" s="103"/>
      <c r="AE65" s="103"/>
      <c r="AF65" s="103"/>
      <c r="AG65" s="103"/>
      <c r="AH65" s="103"/>
      <c r="AI65" s="103"/>
      <c r="AJ65" s="103"/>
      <c r="AK65" s="103"/>
      <c r="AL65" s="103"/>
      <c r="AM65" s="103"/>
      <c r="AN65" s="103"/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  <c r="CJ65" s="103"/>
      <c r="CK65" s="103"/>
      <c r="CL65" s="103"/>
      <c r="CM65" s="103"/>
      <c r="CN65" s="103"/>
      <c r="CO65" s="103"/>
      <c r="CP65" s="103"/>
      <c r="CQ65" s="103"/>
      <c r="CR65" s="103"/>
      <c r="CS65" s="103"/>
      <c r="CT65" s="103"/>
      <c r="CU65" s="103"/>
      <c r="CV65" s="103"/>
    </row>
    <row r="66" spans="1:100" ht="15.75" x14ac:dyDescent="0.15">
      <c r="A66" s="33"/>
      <c r="B66" s="36"/>
      <c r="C66" s="36"/>
      <c r="D66" s="36"/>
      <c r="E66" s="36"/>
      <c r="F66" s="36"/>
      <c r="G66" s="35"/>
      <c r="H66" s="114"/>
      <c r="I66" s="114"/>
      <c r="J66" s="114"/>
      <c r="K66" s="115"/>
      <c r="L66" s="114"/>
      <c r="M66" s="114"/>
      <c r="N66" s="114"/>
      <c r="O66" s="114"/>
      <c r="P66" s="114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03"/>
      <c r="AD66" s="103"/>
      <c r="AE66" s="103"/>
      <c r="AF66" s="103"/>
      <c r="AG66" s="103"/>
      <c r="AH66" s="103"/>
      <c r="AI66" s="103"/>
      <c r="AJ66" s="103"/>
      <c r="AK66" s="103"/>
      <c r="AL66" s="103"/>
      <c r="AM66" s="103"/>
      <c r="AN66" s="103"/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</row>
    <row r="67" spans="1:100" ht="15.75" x14ac:dyDescent="0.15">
      <c r="A67" s="33"/>
      <c r="B67" s="36"/>
      <c r="C67" s="36"/>
      <c r="D67" s="36"/>
      <c r="E67" s="36"/>
      <c r="F67" s="36"/>
      <c r="G67" s="35"/>
      <c r="H67" s="114"/>
      <c r="I67" s="114"/>
      <c r="J67" s="114"/>
      <c r="K67" s="115"/>
      <c r="L67" s="114"/>
      <c r="M67" s="114"/>
      <c r="N67" s="114"/>
      <c r="O67" s="114"/>
      <c r="P67" s="114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03"/>
      <c r="AD67" s="103"/>
      <c r="AE67" s="103"/>
      <c r="AF67" s="103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103"/>
      <c r="CE67" s="103"/>
      <c r="CF67" s="103"/>
      <c r="CG67" s="103"/>
      <c r="CH67" s="103"/>
      <c r="CI67" s="103"/>
      <c r="CJ67" s="103"/>
      <c r="CK67" s="103"/>
      <c r="CL67" s="103"/>
      <c r="CM67" s="103"/>
      <c r="CN67" s="103"/>
      <c r="CO67" s="103"/>
      <c r="CP67" s="103"/>
      <c r="CQ67" s="103"/>
      <c r="CR67" s="103"/>
      <c r="CS67" s="103"/>
      <c r="CT67" s="103"/>
      <c r="CU67" s="103"/>
      <c r="CV67" s="103"/>
    </row>
    <row r="68" spans="1:100" ht="15.75" x14ac:dyDescent="0.15">
      <c r="A68" s="33"/>
      <c r="B68" s="36"/>
      <c r="C68" s="36"/>
      <c r="D68" s="36"/>
      <c r="E68" s="36"/>
      <c r="F68" s="36"/>
      <c r="G68" s="35"/>
      <c r="H68" s="114"/>
      <c r="I68" s="114"/>
      <c r="J68" s="114"/>
      <c r="K68" s="115"/>
      <c r="L68" s="114"/>
      <c r="M68" s="114"/>
      <c r="N68" s="114"/>
      <c r="O68" s="114"/>
      <c r="P68" s="114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03"/>
      <c r="AD68" s="103"/>
      <c r="AE68" s="103"/>
      <c r="AF68" s="103"/>
      <c r="AG68" s="103"/>
      <c r="AH68" s="103"/>
      <c r="AI68" s="103"/>
      <c r="AJ68" s="103"/>
      <c r="AK68" s="103"/>
      <c r="AL68" s="103"/>
      <c r="AM68" s="103"/>
      <c r="AN68" s="103"/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  <c r="CJ68" s="103"/>
      <c r="CK68" s="103"/>
      <c r="CL68" s="103"/>
      <c r="CM68" s="103"/>
      <c r="CN68" s="103"/>
      <c r="CO68" s="103"/>
      <c r="CP68" s="103"/>
      <c r="CQ68" s="103"/>
      <c r="CR68" s="103"/>
      <c r="CS68" s="103"/>
      <c r="CT68" s="103"/>
      <c r="CU68" s="103"/>
      <c r="CV68" s="103"/>
    </row>
    <row r="69" spans="1:100" ht="15.75" x14ac:dyDescent="0.15">
      <c r="A69" s="33"/>
      <c r="B69" s="36"/>
      <c r="C69" s="36"/>
      <c r="D69" s="36"/>
      <c r="E69" s="36"/>
      <c r="F69" s="36"/>
      <c r="G69" s="35"/>
      <c r="H69" s="114"/>
      <c r="I69" s="114"/>
      <c r="J69" s="114"/>
      <c r="K69" s="115"/>
      <c r="L69" s="114"/>
      <c r="M69" s="114"/>
      <c r="N69" s="114"/>
      <c r="O69" s="114"/>
      <c r="P69" s="114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BY69" s="103"/>
      <c r="BZ69" s="103"/>
      <c r="CA69" s="103"/>
      <c r="CB69" s="103"/>
      <c r="CC69" s="103"/>
      <c r="CD69" s="103"/>
      <c r="CE69" s="103"/>
      <c r="CF69" s="103"/>
      <c r="CG69" s="103"/>
      <c r="CH69" s="103"/>
      <c r="CI69" s="103"/>
      <c r="CJ69" s="103"/>
      <c r="CK69" s="103"/>
      <c r="CL69" s="103"/>
      <c r="CM69" s="103"/>
      <c r="CN69" s="103"/>
      <c r="CO69" s="103"/>
      <c r="CP69" s="103"/>
      <c r="CQ69" s="103"/>
      <c r="CR69" s="103"/>
      <c r="CS69" s="103"/>
      <c r="CT69" s="103"/>
      <c r="CU69" s="103"/>
      <c r="CV69" s="103"/>
    </row>
    <row r="70" spans="1:100" ht="15.75" x14ac:dyDescent="0.15">
      <c r="A70" s="33"/>
      <c r="B70" s="36"/>
      <c r="C70" s="36"/>
      <c r="D70" s="36"/>
      <c r="E70" s="36"/>
      <c r="F70" s="36"/>
      <c r="G70" s="35"/>
      <c r="H70" s="114"/>
      <c r="I70" s="114"/>
      <c r="J70" s="114"/>
      <c r="K70" s="115"/>
      <c r="L70" s="114"/>
      <c r="M70" s="114"/>
      <c r="N70" s="114"/>
      <c r="O70" s="114"/>
      <c r="P70" s="114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03"/>
      <c r="AD70" s="103"/>
      <c r="AE70" s="103"/>
      <c r="AF70" s="103"/>
      <c r="AG70" s="103"/>
      <c r="AH70" s="103"/>
      <c r="AI70" s="103"/>
      <c r="AJ70" s="103"/>
      <c r="AK70" s="103"/>
      <c r="AL70" s="103"/>
      <c r="AM70" s="103"/>
      <c r="AN70" s="103"/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3"/>
      <c r="CI70" s="103"/>
      <c r="CJ70" s="103"/>
      <c r="CK70" s="103"/>
      <c r="CL70" s="103"/>
      <c r="CM70" s="103"/>
      <c r="CN70" s="103"/>
      <c r="CO70" s="103"/>
      <c r="CP70" s="103"/>
      <c r="CQ70" s="103"/>
      <c r="CR70" s="103"/>
      <c r="CS70" s="103"/>
      <c r="CT70" s="103"/>
      <c r="CU70" s="103"/>
      <c r="CV70" s="103"/>
    </row>
    <row r="71" spans="1:100" ht="15.75" x14ac:dyDescent="0.15">
      <c r="A71" s="33"/>
      <c r="B71" s="36"/>
      <c r="C71" s="36"/>
      <c r="D71" s="36"/>
      <c r="E71" s="36"/>
      <c r="F71" s="36"/>
      <c r="G71" s="35"/>
      <c r="H71" s="114"/>
      <c r="I71" s="114"/>
      <c r="J71" s="114"/>
      <c r="K71" s="115"/>
      <c r="L71" s="114"/>
      <c r="M71" s="114"/>
      <c r="N71" s="114"/>
      <c r="O71" s="114"/>
      <c r="P71" s="114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103"/>
      <c r="BN71" s="103"/>
      <c r="BO71" s="103"/>
      <c r="BP71" s="103"/>
      <c r="BQ71" s="103"/>
      <c r="BR71" s="103"/>
      <c r="BS71" s="103"/>
      <c r="BT71" s="103"/>
      <c r="BU71" s="103"/>
      <c r="BV71" s="103"/>
      <c r="BW71" s="103"/>
      <c r="BX71" s="103"/>
      <c r="BY71" s="103"/>
      <c r="BZ71" s="103"/>
      <c r="CA71" s="103"/>
      <c r="CB71" s="103"/>
      <c r="CC71" s="103"/>
      <c r="CD71" s="103"/>
      <c r="CE71" s="103"/>
      <c r="CF71" s="103"/>
      <c r="CG71" s="103"/>
      <c r="CH71" s="103"/>
      <c r="CI71" s="103"/>
      <c r="CJ71" s="103"/>
      <c r="CK71" s="103"/>
      <c r="CL71" s="103"/>
      <c r="CM71" s="103"/>
      <c r="CN71" s="103"/>
      <c r="CO71" s="103"/>
      <c r="CP71" s="103"/>
      <c r="CQ71" s="103"/>
      <c r="CR71" s="103"/>
      <c r="CS71" s="103"/>
      <c r="CT71" s="103"/>
      <c r="CU71" s="103"/>
      <c r="CV71" s="103"/>
    </row>
    <row r="72" spans="1:100" ht="15.75" x14ac:dyDescent="0.15">
      <c r="A72" s="33"/>
      <c r="B72" s="36"/>
      <c r="C72" s="36"/>
      <c r="D72" s="36"/>
      <c r="E72" s="36"/>
      <c r="F72" s="36"/>
      <c r="G72" s="35"/>
      <c r="H72" s="114"/>
      <c r="I72" s="114"/>
      <c r="J72" s="114"/>
      <c r="K72" s="115"/>
      <c r="L72" s="114"/>
      <c r="M72" s="114"/>
      <c r="N72" s="114"/>
      <c r="O72" s="114"/>
      <c r="P72" s="114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03"/>
      <c r="AD72" s="103"/>
      <c r="AE72" s="103"/>
      <c r="AF72" s="103"/>
      <c r="AG72" s="103"/>
      <c r="AH72" s="103"/>
      <c r="AI72" s="103"/>
      <c r="AJ72" s="103"/>
      <c r="AK72" s="103"/>
      <c r="AL72" s="103"/>
      <c r="AM72" s="103"/>
      <c r="AN72" s="103"/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  <c r="BY72" s="103"/>
      <c r="BZ72" s="103"/>
      <c r="CA72" s="103"/>
      <c r="CB72" s="103"/>
      <c r="CC72" s="103"/>
      <c r="CD72" s="103"/>
      <c r="CE72" s="103"/>
      <c r="CF72" s="103"/>
      <c r="CG72" s="103"/>
      <c r="CH72" s="103"/>
      <c r="CI72" s="103"/>
      <c r="CJ72" s="103"/>
      <c r="CK72" s="103"/>
      <c r="CL72" s="103"/>
      <c r="CM72" s="103"/>
      <c r="CN72" s="103"/>
      <c r="CO72" s="103"/>
      <c r="CP72" s="103"/>
      <c r="CQ72" s="103"/>
      <c r="CR72" s="103"/>
      <c r="CS72" s="103"/>
      <c r="CT72" s="103"/>
      <c r="CU72" s="103"/>
      <c r="CV72" s="103"/>
    </row>
    <row r="73" spans="1:100" ht="15.75" x14ac:dyDescent="0.15">
      <c r="A73" s="33"/>
      <c r="B73" s="36"/>
      <c r="C73" s="36"/>
      <c r="D73" s="36"/>
      <c r="E73" s="36"/>
      <c r="F73" s="36"/>
      <c r="G73" s="35"/>
      <c r="H73" s="114"/>
      <c r="I73" s="114"/>
      <c r="J73" s="114"/>
      <c r="K73" s="115"/>
      <c r="L73" s="114"/>
      <c r="M73" s="114"/>
      <c r="N73" s="114"/>
      <c r="O73" s="114"/>
      <c r="P73" s="114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103"/>
      <c r="CE73" s="103"/>
      <c r="CF73" s="103"/>
      <c r="CG73" s="103"/>
      <c r="CH73" s="103"/>
      <c r="CI73" s="103"/>
      <c r="CJ73" s="103"/>
      <c r="CK73" s="103"/>
      <c r="CL73" s="103"/>
      <c r="CM73" s="103"/>
      <c r="CN73" s="103"/>
      <c r="CO73" s="103"/>
      <c r="CP73" s="103"/>
      <c r="CQ73" s="103"/>
      <c r="CR73" s="103"/>
      <c r="CS73" s="103"/>
      <c r="CT73" s="103"/>
      <c r="CU73" s="103"/>
      <c r="CV73" s="103"/>
    </row>
    <row r="74" spans="1:100" ht="15.75" x14ac:dyDescent="0.15">
      <c r="A74" s="33"/>
      <c r="B74" s="36"/>
      <c r="C74" s="36"/>
      <c r="D74" s="36"/>
      <c r="E74" s="36"/>
      <c r="F74" s="36"/>
      <c r="G74" s="35"/>
      <c r="H74" s="114"/>
      <c r="I74" s="114"/>
      <c r="J74" s="114"/>
      <c r="K74" s="115"/>
      <c r="L74" s="114"/>
      <c r="M74" s="114"/>
      <c r="N74" s="114"/>
      <c r="O74" s="114"/>
      <c r="P74" s="114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03"/>
      <c r="AD74" s="103"/>
      <c r="AE74" s="103"/>
      <c r="AF74" s="103"/>
      <c r="AG74" s="103"/>
      <c r="AH74" s="103"/>
      <c r="AI74" s="103"/>
      <c r="AJ74" s="103"/>
      <c r="AK74" s="103"/>
      <c r="AL74" s="103"/>
      <c r="AM74" s="103"/>
      <c r="AN74" s="103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03"/>
      <c r="BX74" s="103"/>
      <c r="BY74" s="103"/>
      <c r="BZ74" s="103"/>
      <c r="CA74" s="103"/>
      <c r="CB74" s="103"/>
      <c r="CC74" s="103"/>
      <c r="CD74" s="103"/>
      <c r="CE74" s="103"/>
      <c r="CF74" s="103"/>
      <c r="CG74" s="103"/>
      <c r="CH74" s="103"/>
      <c r="CI74" s="103"/>
      <c r="CJ74" s="103"/>
      <c r="CK74" s="103"/>
      <c r="CL74" s="103"/>
      <c r="CM74" s="103"/>
      <c r="CN74" s="103"/>
      <c r="CO74" s="103"/>
      <c r="CP74" s="103"/>
      <c r="CQ74" s="103"/>
      <c r="CR74" s="103"/>
      <c r="CS74" s="103"/>
      <c r="CT74" s="103"/>
      <c r="CU74" s="103"/>
      <c r="CV74" s="103"/>
    </row>
    <row r="75" spans="1:100" ht="15.75" x14ac:dyDescent="0.15">
      <c r="A75" s="33"/>
      <c r="B75" s="36"/>
      <c r="C75" s="36"/>
      <c r="D75" s="36"/>
      <c r="E75" s="36"/>
      <c r="F75" s="36"/>
      <c r="G75" s="35"/>
      <c r="H75" s="114"/>
      <c r="I75" s="114"/>
      <c r="J75" s="114"/>
      <c r="K75" s="115"/>
      <c r="L75" s="114"/>
      <c r="M75" s="114"/>
      <c r="N75" s="114"/>
      <c r="O75" s="114"/>
      <c r="P75" s="114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03"/>
      <c r="AD75" s="103"/>
      <c r="AE75" s="103"/>
      <c r="AF75" s="103"/>
      <c r="AG75" s="103"/>
      <c r="AH75" s="103"/>
      <c r="AI75" s="103"/>
      <c r="AJ75" s="103"/>
      <c r="AK75" s="103"/>
      <c r="AL75" s="103"/>
      <c r="AM75" s="103"/>
      <c r="AN75" s="103"/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/>
      <c r="BT75" s="103"/>
      <c r="BU75" s="103"/>
      <c r="BV75" s="103"/>
      <c r="BW75" s="103"/>
      <c r="BX75" s="103"/>
      <c r="BY75" s="103"/>
      <c r="BZ75" s="103"/>
      <c r="CA75" s="103"/>
      <c r="CB75" s="103"/>
      <c r="CC75" s="103"/>
      <c r="CD75" s="103"/>
      <c r="CE75" s="103"/>
      <c r="CF75" s="103"/>
      <c r="CG75" s="103"/>
      <c r="CH75" s="103"/>
      <c r="CI75" s="103"/>
      <c r="CJ75" s="103"/>
      <c r="CK75" s="103"/>
      <c r="CL75" s="103"/>
      <c r="CM75" s="103"/>
      <c r="CN75" s="103"/>
      <c r="CO75" s="103"/>
      <c r="CP75" s="103"/>
      <c r="CQ75" s="103"/>
      <c r="CR75" s="103"/>
      <c r="CS75" s="103"/>
      <c r="CT75" s="103"/>
      <c r="CU75" s="103"/>
      <c r="CV75" s="103"/>
    </row>
    <row r="76" spans="1:100" ht="15.75" x14ac:dyDescent="0.15">
      <c r="A76" s="33"/>
      <c r="B76" s="36"/>
      <c r="C76" s="36"/>
      <c r="D76" s="36"/>
      <c r="E76" s="36"/>
      <c r="F76" s="36"/>
      <c r="G76" s="35"/>
      <c r="H76" s="114"/>
      <c r="I76" s="114"/>
      <c r="J76" s="114"/>
      <c r="K76" s="115"/>
      <c r="L76" s="114"/>
      <c r="M76" s="114"/>
      <c r="N76" s="114"/>
      <c r="O76" s="114"/>
      <c r="P76" s="114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03"/>
      <c r="AD76" s="103"/>
      <c r="AE76" s="103"/>
      <c r="AF76" s="103"/>
      <c r="AG76" s="103"/>
      <c r="AH76" s="103"/>
      <c r="AI76" s="103"/>
      <c r="AJ76" s="103"/>
      <c r="AK76" s="103"/>
      <c r="AL76" s="103"/>
      <c r="AM76" s="103"/>
      <c r="AN76" s="103"/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103"/>
      <c r="CH76" s="103"/>
      <c r="CI76" s="103"/>
      <c r="CJ76" s="103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</row>
    <row r="77" spans="1:100" ht="15.75" x14ac:dyDescent="0.15">
      <c r="A77" s="33"/>
      <c r="B77" s="36"/>
      <c r="C77" s="36"/>
      <c r="D77" s="36"/>
      <c r="E77" s="36"/>
      <c r="F77" s="36"/>
      <c r="G77" s="35"/>
      <c r="H77" s="114"/>
      <c r="I77" s="114"/>
      <c r="J77" s="114"/>
      <c r="K77" s="115"/>
      <c r="L77" s="114"/>
      <c r="M77" s="114"/>
      <c r="N77" s="114"/>
      <c r="O77" s="114"/>
      <c r="P77" s="114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03"/>
      <c r="AD77" s="103"/>
      <c r="AE77" s="103"/>
      <c r="AF77" s="103"/>
      <c r="AG77" s="103"/>
      <c r="AH77" s="103"/>
      <c r="AI77" s="103"/>
      <c r="AJ77" s="103"/>
      <c r="AK77" s="103"/>
      <c r="AL77" s="103"/>
      <c r="AM77" s="103"/>
      <c r="AN77" s="103"/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  <c r="BM77" s="103"/>
      <c r="BN77" s="103"/>
      <c r="BO77" s="103"/>
      <c r="BP77" s="103"/>
      <c r="BQ77" s="103"/>
      <c r="BR77" s="103"/>
      <c r="BS77" s="103"/>
      <c r="BT77" s="103"/>
      <c r="BU77" s="103"/>
      <c r="BV77" s="103"/>
      <c r="BW77" s="103"/>
      <c r="BX77" s="103"/>
      <c r="BY77" s="103"/>
      <c r="BZ77" s="103"/>
      <c r="CA77" s="103"/>
      <c r="CB77" s="103"/>
      <c r="CC77" s="103"/>
      <c r="CD77" s="103"/>
      <c r="CE77" s="103"/>
      <c r="CF77" s="103"/>
      <c r="CG77" s="103"/>
      <c r="CH77" s="103"/>
      <c r="CI77" s="103"/>
      <c r="CJ77" s="103"/>
      <c r="CK77" s="103"/>
      <c r="CL77" s="103"/>
      <c r="CM77" s="103"/>
      <c r="CN77" s="103"/>
      <c r="CO77" s="103"/>
      <c r="CP77" s="103"/>
      <c r="CQ77" s="103"/>
      <c r="CR77" s="103"/>
      <c r="CS77" s="103"/>
      <c r="CT77" s="103"/>
      <c r="CU77" s="103"/>
      <c r="CV77" s="103"/>
    </row>
    <row r="78" spans="1:100" ht="15.75" x14ac:dyDescent="0.15">
      <c r="A78" s="33"/>
      <c r="B78" s="36"/>
      <c r="C78" s="36"/>
      <c r="D78" s="36"/>
      <c r="E78" s="36"/>
      <c r="F78" s="36"/>
      <c r="G78" s="35"/>
      <c r="H78" s="114"/>
      <c r="I78" s="114"/>
      <c r="J78" s="114"/>
      <c r="K78" s="115"/>
      <c r="L78" s="114"/>
      <c r="M78" s="114"/>
      <c r="N78" s="114"/>
      <c r="O78" s="114"/>
      <c r="P78" s="114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03"/>
      <c r="AD78" s="103"/>
      <c r="AE78" s="103"/>
      <c r="AF78" s="103"/>
      <c r="AG78" s="103"/>
      <c r="AH78" s="103"/>
      <c r="AI78" s="103"/>
      <c r="AJ78" s="103"/>
      <c r="AK78" s="103"/>
      <c r="AL78" s="103"/>
      <c r="AM78" s="103"/>
      <c r="AN78" s="103"/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  <c r="BM78" s="103"/>
      <c r="BN78" s="103"/>
      <c r="BO78" s="103"/>
      <c r="BP78" s="103"/>
      <c r="BQ78" s="103"/>
      <c r="BR78" s="103"/>
      <c r="BS78" s="103"/>
      <c r="BT78" s="103"/>
      <c r="BU78" s="103"/>
      <c r="BV78" s="103"/>
      <c r="BW78" s="103"/>
      <c r="BX78" s="103"/>
      <c r="BY78" s="103"/>
      <c r="BZ78" s="103"/>
      <c r="CA78" s="103"/>
      <c r="CB78" s="103"/>
      <c r="CC78" s="103"/>
      <c r="CD78" s="103"/>
      <c r="CE78" s="103"/>
      <c r="CF78" s="103"/>
      <c r="CG78" s="103"/>
      <c r="CH78" s="103"/>
      <c r="CI78" s="103"/>
      <c r="CJ78" s="103"/>
      <c r="CK78" s="103"/>
      <c r="CL78" s="103"/>
      <c r="CM78" s="103"/>
      <c r="CN78" s="103"/>
      <c r="CO78" s="103"/>
      <c r="CP78" s="103"/>
      <c r="CQ78" s="103"/>
      <c r="CR78" s="103"/>
      <c r="CS78" s="103"/>
      <c r="CT78" s="103"/>
      <c r="CU78" s="103"/>
      <c r="CV78" s="103"/>
    </row>
    <row r="79" spans="1:100" ht="15.75" x14ac:dyDescent="0.15">
      <c r="A79" s="33"/>
      <c r="B79" s="36"/>
      <c r="C79" s="36"/>
      <c r="D79" s="36"/>
      <c r="E79" s="36"/>
      <c r="F79" s="36"/>
      <c r="G79" s="35"/>
      <c r="H79" s="114"/>
      <c r="I79" s="114"/>
      <c r="J79" s="114"/>
      <c r="K79" s="115"/>
      <c r="L79" s="114"/>
      <c r="M79" s="114"/>
      <c r="N79" s="114"/>
      <c r="O79" s="114"/>
      <c r="P79" s="114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03"/>
      <c r="AD79" s="103"/>
      <c r="AE79" s="103"/>
      <c r="AF79" s="103"/>
      <c r="AG79" s="103"/>
      <c r="AH79" s="103"/>
      <c r="AI79" s="103"/>
      <c r="AJ79" s="103"/>
      <c r="AK79" s="103"/>
      <c r="AL79" s="103"/>
      <c r="AM79" s="103"/>
      <c r="AN79" s="103"/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  <c r="BM79" s="103"/>
      <c r="BN79" s="103"/>
      <c r="BO79" s="103"/>
      <c r="BP79" s="103"/>
      <c r="BQ79" s="103"/>
      <c r="BR79" s="103"/>
      <c r="BS79" s="103"/>
      <c r="BT79" s="103"/>
      <c r="BU79" s="103"/>
      <c r="BV79" s="103"/>
      <c r="BW79" s="103"/>
      <c r="BX79" s="103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I79" s="103"/>
      <c r="CJ79" s="103"/>
      <c r="CK79" s="103"/>
      <c r="CL79" s="103"/>
      <c r="CM79" s="103"/>
      <c r="CN79" s="103"/>
      <c r="CO79" s="103"/>
      <c r="CP79" s="103"/>
      <c r="CQ79" s="103"/>
      <c r="CR79" s="103"/>
      <c r="CS79" s="103"/>
      <c r="CT79" s="103"/>
      <c r="CU79" s="103"/>
      <c r="CV79" s="103"/>
    </row>
    <row r="80" spans="1:100" ht="15.75" x14ac:dyDescent="0.15">
      <c r="A80" s="33"/>
      <c r="B80" s="36"/>
      <c r="C80" s="36"/>
      <c r="D80" s="36"/>
      <c r="E80" s="36"/>
      <c r="F80" s="36"/>
      <c r="G80" s="35"/>
      <c r="H80" s="114"/>
      <c r="I80" s="114"/>
      <c r="J80" s="114"/>
      <c r="K80" s="115"/>
      <c r="L80" s="114"/>
      <c r="M80" s="114"/>
      <c r="N80" s="114"/>
      <c r="O80" s="114"/>
      <c r="P80" s="114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03"/>
      <c r="AD80" s="103"/>
      <c r="AE80" s="103"/>
      <c r="AF80" s="103"/>
      <c r="AG80" s="103"/>
      <c r="AH80" s="103"/>
      <c r="AI80" s="103"/>
      <c r="AJ80" s="103"/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  <c r="BM80" s="103"/>
      <c r="BN80" s="103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I80" s="103"/>
      <c r="CJ80" s="103"/>
      <c r="CK80" s="103"/>
      <c r="CL80" s="103"/>
      <c r="CM80" s="103"/>
      <c r="CN80" s="103"/>
      <c r="CO80" s="103"/>
      <c r="CP80" s="103"/>
      <c r="CQ80" s="103"/>
      <c r="CR80" s="103"/>
      <c r="CS80" s="103"/>
      <c r="CT80" s="103"/>
      <c r="CU80" s="103"/>
      <c r="CV80" s="103"/>
    </row>
    <row r="81" spans="1:100" ht="15.75" x14ac:dyDescent="0.15">
      <c r="A81" s="33"/>
      <c r="B81" s="36"/>
      <c r="C81" s="36"/>
      <c r="D81" s="36"/>
      <c r="E81" s="36"/>
      <c r="F81" s="36"/>
      <c r="G81" s="35"/>
      <c r="H81" s="114"/>
      <c r="I81" s="114"/>
      <c r="J81" s="114"/>
      <c r="K81" s="115"/>
      <c r="L81" s="114"/>
      <c r="M81" s="114"/>
      <c r="N81" s="114"/>
      <c r="O81" s="114"/>
      <c r="P81" s="114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03"/>
      <c r="AD81" s="103"/>
      <c r="AE81" s="103"/>
      <c r="AF81" s="103"/>
      <c r="AG81" s="103"/>
      <c r="AH81" s="103"/>
      <c r="AI81" s="103"/>
      <c r="AJ81" s="103"/>
      <c r="AK81" s="103"/>
      <c r="AL81" s="103"/>
      <c r="AM81" s="103"/>
      <c r="AN81" s="103"/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  <c r="BM81" s="103"/>
      <c r="BN81" s="103"/>
      <c r="BO81" s="103"/>
      <c r="BP81" s="103"/>
      <c r="BQ81" s="103"/>
      <c r="BR81" s="103"/>
      <c r="BS81" s="103"/>
      <c r="BT81" s="103"/>
      <c r="BU81" s="103"/>
      <c r="BV81" s="103"/>
      <c r="BW81" s="103"/>
      <c r="BX81" s="103"/>
      <c r="BY81" s="103"/>
      <c r="BZ81" s="103"/>
      <c r="CA81" s="103"/>
      <c r="CB81" s="103"/>
      <c r="CC81" s="103"/>
      <c r="CD81" s="103"/>
      <c r="CE81" s="103"/>
      <c r="CF81" s="103"/>
      <c r="CG81" s="103"/>
      <c r="CH81" s="103"/>
      <c r="CI81" s="103"/>
      <c r="CJ81" s="103"/>
      <c r="CK81" s="103"/>
      <c r="CL81" s="103"/>
      <c r="CM81" s="103"/>
      <c r="CN81" s="103"/>
      <c r="CO81" s="103"/>
      <c r="CP81" s="103"/>
      <c r="CQ81" s="103"/>
      <c r="CR81" s="103"/>
      <c r="CS81" s="103"/>
      <c r="CT81" s="103"/>
      <c r="CU81" s="103"/>
      <c r="CV81" s="103"/>
    </row>
    <row r="82" spans="1:100" ht="15.75" x14ac:dyDescent="0.15">
      <c r="A82" s="33"/>
      <c r="B82" s="36"/>
      <c r="C82" s="36"/>
      <c r="D82" s="36"/>
      <c r="E82" s="36"/>
      <c r="F82" s="36"/>
      <c r="G82" s="35"/>
      <c r="H82" s="114"/>
      <c r="I82" s="114"/>
      <c r="J82" s="114"/>
      <c r="K82" s="115"/>
      <c r="L82" s="114"/>
      <c r="M82" s="114"/>
      <c r="N82" s="114"/>
      <c r="O82" s="114"/>
      <c r="P82" s="114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03"/>
      <c r="AD82" s="103"/>
      <c r="AE82" s="103"/>
      <c r="AF82" s="103"/>
      <c r="AG82" s="103"/>
      <c r="AH82" s="103"/>
      <c r="AI82" s="103"/>
      <c r="AJ82" s="103"/>
      <c r="AK82" s="103"/>
      <c r="AL82" s="103"/>
      <c r="AM82" s="103"/>
      <c r="AN82" s="103"/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  <c r="BM82" s="103"/>
      <c r="BN82" s="103"/>
      <c r="BO82" s="103"/>
      <c r="BP82" s="103"/>
      <c r="BQ82" s="103"/>
      <c r="BR82" s="103"/>
      <c r="BS82" s="103"/>
      <c r="BT82" s="103"/>
      <c r="BU82" s="103"/>
      <c r="BV82" s="103"/>
      <c r="BW82" s="103"/>
      <c r="BX82" s="103"/>
      <c r="BY82" s="103"/>
      <c r="BZ82" s="103"/>
      <c r="CA82" s="103"/>
      <c r="CB82" s="103"/>
      <c r="CC82" s="103"/>
      <c r="CD82" s="103"/>
      <c r="CE82" s="103"/>
      <c r="CF82" s="103"/>
      <c r="CG82" s="103"/>
      <c r="CH82" s="103"/>
      <c r="CI82" s="103"/>
      <c r="CJ82" s="103"/>
      <c r="CK82" s="103"/>
      <c r="CL82" s="103"/>
      <c r="CM82" s="103"/>
      <c r="CN82" s="103"/>
      <c r="CO82" s="103"/>
      <c r="CP82" s="103"/>
      <c r="CQ82" s="103"/>
      <c r="CR82" s="103"/>
      <c r="CS82" s="103"/>
      <c r="CT82" s="103"/>
      <c r="CU82" s="103"/>
      <c r="CV82" s="103"/>
    </row>
    <row r="83" spans="1:100" ht="15.75" x14ac:dyDescent="0.15">
      <c r="A83" s="33"/>
      <c r="B83" s="36"/>
      <c r="C83" s="36"/>
      <c r="D83" s="36"/>
      <c r="E83" s="36"/>
      <c r="F83" s="36"/>
      <c r="G83" s="35"/>
      <c r="H83" s="114"/>
      <c r="I83" s="114"/>
      <c r="J83" s="114"/>
      <c r="K83" s="115"/>
      <c r="L83" s="114"/>
      <c r="M83" s="114"/>
      <c r="N83" s="114"/>
      <c r="O83" s="114"/>
      <c r="P83" s="114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  <c r="BM83" s="103"/>
      <c r="BN83" s="103"/>
      <c r="BO83" s="103"/>
      <c r="BP83" s="103"/>
      <c r="BQ83" s="103"/>
      <c r="BR83" s="103"/>
      <c r="BS83" s="103"/>
      <c r="BT83" s="103"/>
      <c r="BU83" s="103"/>
      <c r="BV83" s="103"/>
      <c r="BW83" s="103"/>
      <c r="BX83" s="103"/>
      <c r="BY83" s="103"/>
      <c r="BZ83" s="103"/>
      <c r="CA83" s="103"/>
      <c r="CB83" s="103"/>
      <c r="CC83" s="103"/>
      <c r="CD83" s="103"/>
      <c r="CE83" s="103"/>
      <c r="CF83" s="103"/>
      <c r="CG83" s="103"/>
      <c r="CH83" s="103"/>
      <c r="CI83" s="103"/>
      <c r="CJ83" s="103"/>
      <c r="CK83" s="103"/>
      <c r="CL83" s="103"/>
      <c r="CM83" s="103"/>
      <c r="CN83" s="103"/>
      <c r="CO83" s="103"/>
      <c r="CP83" s="103"/>
      <c r="CQ83" s="103"/>
      <c r="CR83" s="103"/>
      <c r="CS83" s="103"/>
      <c r="CT83" s="103"/>
      <c r="CU83" s="103"/>
      <c r="CV83" s="103"/>
    </row>
    <row r="84" spans="1:100" ht="15.75" x14ac:dyDescent="0.15">
      <c r="A84" s="33"/>
      <c r="B84" s="36"/>
      <c r="C84" s="36"/>
      <c r="D84" s="36"/>
      <c r="E84" s="36"/>
      <c r="F84" s="36"/>
      <c r="G84" s="35"/>
      <c r="H84" s="114"/>
      <c r="I84" s="114"/>
      <c r="J84" s="114"/>
      <c r="K84" s="115"/>
      <c r="L84" s="114"/>
      <c r="M84" s="114"/>
      <c r="N84" s="114"/>
      <c r="O84" s="114"/>
      <c r="P84" s="114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  <c r="BM84" s="103"/>
      <c r="BN84" s="103"/>
      <c r="BO84" s="103"/>
      <c r="BP84" s="103"/>
      <c r="BQ84" s="103"/>
      <c r="BR84" s="103"/>
      <c r="BS84" s="103"/>
      <c r="BT84" s="103"/>
      <c r="BU84" s="103"/>
      <c r="BV84" s="103"/>
      <c r="BW84" s="103"/>
      <c r="BX84" s="103"/>
      <c r="BY84" s="103"/>
      <c r="BZ84" s="103"/>
      <c r="CA84" s="103"/>
      <c r="CB84" s="103"/>
      <c r="CC84" s="103"/>
      <c r="CD84" s="103"/>
      <c r="CE84" s="103"/>
      <c r="CF84" s="103"/>
      <c r="CG84" s="103"/>
      <c r="CH84" s="103"/>
      <c r="CI84" s="103"/>
      <c r="CJ84" s="103"/>
      <c r="CK84" s="103"/>
      <c r="CL84" s="103"/>
      <c r="CM84" s="103"/>
      <c r="CN84" s="103"/>
      <c r="CO84" s="103"/>
      <c r="CP84" s="103"/>
      <c r="CQ84" s="103"/>
      <c r="CR84" s="103"/>
      <c r="CS84" s="103"/>
      <c r="CT84" s="103"/>
      <c r="CU84" s="103"/>
      <c r="CV84" s="103"/>
    </row>
    <row r="85" spans="1:100" ht="15.75" x14ac:dyDescent="0.15">
      <c r="A85" s="33"/>
      <c r="B85" s="36"/>
      <c r="C85" s="36"/>
      <c r="D85" s="36"/>
      <c r="E85" s="36"/>
      <c r="F85" s="36"/>
      <c r="G85" s="35"/>
      <c r="H85" s="114"/>
      <c r="I85" s="114"/>
      <c r="J85" s="114"/>
      <c r="K85" s="115"/>
      <c r="L85" s="114"/>
      <c r="M85" s="114"/>
      <c r="N85" s="114"/>
      <c r="O85" s="114"/>
      <c r="P85" s="114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03"/>
      <c r="AD85" s="103"/>
      <c r="AE85" s="103"/>
      <c r="AF85" s="103"/>
      <c r="AG85" s="103"/>
      <c r="AH85" s="103"/>
      <c r="AI85" s="103"/>
      <c r="AJ85" s="103"/>
      <c r="AK85" s="103"/>
      <c r="AL85" s="103"/>
      <c r="AM85" s="103"/>
      <c r="AN85" s="103"/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  <c r="BM85" s="103"/>
      <c r="BN85" s="103"/>
      <c r="BO85" s="103"/>
      <c r="BP85" s="103"/>
      <c r="BQ85" s="103"/>
      <c r="BR85" s="103"/>
      <c r="BS85" s="103"/>
      <c r="BT85" s="103"/>
      <c r="BU85" s="103"/>
      <c r="BV85" s="103"/>
      <c r="BW85" s="103"/>
      <c r="BX85" s="103"/>
      <c r="BY85" s="103"/>
      <c r="BZ85" s="103"/>
      <c r="CA85" s="103"/>
      <c r="CB85" s="103"/>
      <c r="CC85" s="103"/>
      <c r="CD85" s="103"/>
      <c r="CE85" s="103"/>
      <c r="CF85" s="103"/>
      <c r="CG85" s="103"/>
      <c r="CH85" s="103"/>
      <c r="CI85" s="103"/>
      <c r="CJ85" s="103"/>
      <c r="CK85" s="103"/>
      <c r="CL85" s="103"/>
      <c r="CM85" s="103"/>
      <c r="CN85" s="103"/>
      <c r="CO85" s="103"/>
      <c r="CP85" s="103"/>
      <c r="CQ85" s="103"/>
      <c r="CR85" s="103"/>
      <c r="CS85" s="103"/>
      <c r="CT85" s="103"/>
      <c r="CU85" s="103"/>
      <c r="CV85" s="103"/>
    </row>
    <row r="86" spans="1:100" ht="15.75" x14ac:dyDescent="0.15">
      <c r="A86" s="33"/>
      <c r="B86" s="36"/>
      <c r="C86" s="36"/>
      <c r="D86" s="36"/>
      <c r="E86" s="36"/>
      <c r="F86" s="36"/>
      <c r="G86" s="35"/>
      <c r="H86" s="114"/>
      <c r="I86" s="114"/>
      <c r="J86" s="114"/>
      <c r="K86" s="115"/>
      <c r="L86" s="114"/>
      <c r="M86" s="114"/>
      <c r="N86" s="114"/>
      <c r="O86" s="114"/>
      <c r="P86" s="114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03"/>
      <c r="AD86" s="103"/>
      <c r="AE86" s="103"/>
      <c r="AF86" s="103"/>
      <c r="AG86" s="103"/>
      <c r="AH86" s="103"/>
      <c r="AI86" s="103"/>
      <c r="AJ86" s="103"/>
      <c r="AK86" s="103"/>
      <c r="AL86" s="103"/>
      <c r="AM86" s="103"/>
      <c r="AN86" s="103"/>
      <c r="AO86" s="103"/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  <c r="BM86" s="103"/>
      <c r="BN86" s="103"/>
      <c r="BO86" s="103"/>
      <c r="BP86" s="103"/>
      <c r="BQ86" s="103"/>
      <c r="BR86" s="103"/>
      <c r="BS86" s="103"/>
      <c r="BT86" s="103"/>
      <c r="BU86" s="103"/>
      <c r="BV86" s="103"/>
      <c r="BW86" s="103"/>
      <c r="BX86" s="103"/>
      <c r="BY86" s="103"/>
      <c r="BZ86" s="103"/>
      <c r="CA86" s="103"/>
      <c r="CB86" s="103"/>
      <c r="CC86" s="103"/>
      <c r="CD86" s="103"/>
      <c r="CE86" s="103"/>
      <c r="CF86" s="103"/>
      <c r="CG86" s="103"/>
      <c r="CH86" s="103"/>
      <c r="CI86" s="103"/>
      <c r="CJ86" s="103"/>
      <c r="CK86" s="103"/>
      <c r="CL86" s="103"/>
      <c r="CM86" s="103"/>
      <c r="CN86" s="103"/>
      <c r="CO86" s="103"/>
      <c r="CP86" s="103"/>
      <c r="CQ86" s="103"/>
      <c r="CR86" s="103"/>
      <c r="CS86" s="103"/>
      <c r="CT86" s="103"/>
      <c r="CU86" s="103"/>
      <c r="CV86" s="103"/>
    </row>
    <row r="87" spans="1:100" ht="15.75" x14ac:dyDescent="0.15">
      <c r="A87" s="33"/>
      <c r="B87" s="36"/>
      <c r="C87" s="36"/>
      <c r="D87" s="36"/>
      <c r="E87" s="36"/>
      <c r="F87" s="36"/>
      <c r="G87" s="35"/>
      <c r="H87" s="114"/>
      <c r="I87" s="114"/>
      <c r="J87" s="114"/>
      <c r="K87" s="115"/>
      <c r="L87" s="114"/>
      <c r="M87" s="114"/>
      <c r="N87" s="114"/>
      <c r="O87" s="114"/>
      <c r="P87" s="114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03"/>
      <c r="AD87" s="103"/>
      <c r="AE87" s="103"/>
      <c r="AF87" s="103"/>
      <c r="AG87" s="103"/>
      <c r="AH87" s="103"/>
      <c r="AI87" s="103"/>
      <c r="AJ87" s="103"/>
      <c r="AK87" s="103"/>
      <c r="AL87" s="103"/>
      <c r="AM87" s="103"/>
      <c r="AN87" s="103"/>
      <c r="AO87" s="103"/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  <c r="BM87" s="103"/>
      <c r="BN87" s="103"/>
      <c r="BO87" s="103"/>
      <c r="BP87" s="103"/>
      <c r="BQ87" s="103"/>
      <c r="BR87" s="103"/>
      <c r="BS87" s="103"/>
      <c r="BT87" s="103"/>
      <c r="BU87" s="103"/>
      <c r="BV87" s="103"/>
      <c r="BW87" s="103"/>
      <c r="BX87" s="103"/>
      <c r="BY87" s="103"/>
      <c r="BZ87" s="103"/>
      <c r="CA87" s="103"/>
      <c r="CB87" s="103"/>
      <c r="CC87" s="103"/>
      <c r="CD87" s="103"/>
      <c r="CE87" s="103"/>
      <c r="CF87" s="103"/>
      <c r="CG87" s="103"/>
      <c r="CH87" s="103"/>
      <c r="CI87" s="103"/>
      <c r="CJ87" s="103"/>
      <c r="CK87" s="103"/>
      <c r="CL87" s="103"/>
      <c r="CM87" s="103"/>
      <c r="CN87" s="103"/>
      <c r="CO87" s="103"/>
      <c r="CP87" s="103"/>
      <c r="CQ87" s="103"/>
      <c r="CR87" s="103"/>
      <c r="CS87" s="103"/>
      <c r="CT87" s="103"/>
      <c r="CU87" s="103"/>
      <c r="CV87" s="103"/>
    </row>
    <row r="88" spans="1:100" ht="15.75" x14ac:dyDescent="0.15">
      <c r="A88" s="33"/>
      <c r="B88" s="36"/>
      <c r="C88" s="36"/>
      <c r="D88" s="36"/>
      <c r="E88" s="36"/>
      <c r="F88" s="36"/>
      <c r="G88" s="35"/>
      <c r="H88" s="114"/>
      <c r="I88" s="114"/>
      <c r="J88" s="114"/>
      <c r="K88" s="115"/>
      <c r="L88" s="114"/>
      <c r="M88" s="114"/>
      <c r="N88" s="114"/>
      <c r="O88" s="114"/>
      <c r="P88" s="114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  <c r="BM88" s="103"/>
      <c r="BN88" s="103"/>
      <c r="BO88" s="103"/>
      <c r="BP88" s="103"/>
      <c r="BQ88" s="103"/>
      <c r="BR88" s="103"/>
      <c r="BS88" s="103"/>
      <c r="BT88" s="103"/>
      <c r="BU88" s="103"/>
      <c r="BV88" s="103"/>
      <c r="BW88" s="103"/>
      <c r="BX88" s="103"/>
      <c r="BY88" s="103"/>
      <c r="BZ88" s="103"/>
      <c r="CA88" s="103"/>
      <c r="CB88" s="103"/>
      <c r="CC88" s="103"/>
      <c r="CD88" s="103"/>
      <c r="CE88" s="103"/>
      <c r="CF88" s="103"/>
      <c r="CG88" s="103"/>
      <c r="CH88" s="103"/>
      <c r="CI88" s="103"/>
      <c r="CJ88" s="103"/>
      <c r="CK88" s="103"/>
      <c r="CL88" s="103"/>
      <c r="CM88" s="103"/>
      <c r="CN88" s="103"/>
      <c r="CO88" s="103"/>
      <c r="CP88" s="103"/>
      <c r="CQ88" s="103"/>
      <c r="CR88" s="103"/>
      <c r="CS88" s="103"/>
      <c r="CT88" s="103"/>
      <c r="CU88" s="103"/>
      <c r="CV88" s="103"/>
    </row>
    <row r="89" spans="1:100" ht="15.75" x14ac:dyDescent="0.15">
      <c r="A89" s="33"/>
      <c r="B89" s="36"/>
      <c r="C89" s="36"/>
      <c r="D89" s="36"/>
      <c r="E89" s="36"/>
      <c r="F89" s="36"/>
      <c r="G89" s="35"/>
      <c r="H89" s="114"/>
      <c r="I89" s="114"/>
      <c r="J89" s="114"/>
      <c r="K89" s="115"/>
      <c r="L89" s="114"/>
      <c r="M89" s="114"/>
      <c r="N89" s="114"/>
      <c r="O89" s="114"/>
      <c r="P89" s="114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03"/>
      <c r="AD89" s="103"/>
      <c r="AE89" s="103"/>
      <c r="AF89" s="103"/>
      <c r="AG89" s="103"/>
      <c r="AH89" s="103"/>
      <c r="AI89" s="103"/>
      <c r="AJ89" s="103"/>
      <c r="AK89" s="103"/>
      <c r="AL89" s="103"/>
      <c r="AM89" s="103"/>
      <c r="AN89" s="103"/>
      <c r="AO89" s="103"/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  <c r="BM89" s="103"/>
      <c r="BN89" s="103"/>
      <c r="BO89" s="103"/>
      <c r="BP89" s="103"/>
      <c r="BQ89" s="103"/>
      <c r="BR89" s="103"/>
      <c r="BS89" s="103"/>
      <c r="BT89" s="103"/>
      <c r="BU89" s="103"/>
      <c r="BV89" s="103"/>
      <c r="BW89" s="103"/>
      <c r="BX89" s="103"/>
      <c r="BY89" s="103"/>
      <c r="BZ89" s="103"/>
      <c r="CA89" s="103"/>
      <c r="CB89" s="103"/>
      <c r="CC89" s="103"/>
      <c r="CD89" s="103"/>
      <c r="CE89" s="103"/>
      <c r="CF89" s="103"/>
      <c r="CG89" s="103"/>
      <c r="CH89" s="103"/>
      <c r="CI89" s="103"/>
      <c r="CJ89" s="103"/>
      <c r="CK89" s="103"/>
      <c r="CL89" s="103"/>
      <c r="CM89" s="103"/>
      <c r="CN89" s="103"/>
      <c r="CO89" s="103"/>
      <c r="CP89" s="103"/>
      <c r="CQ89" s="103"/>
      <c r="CR89" s="103"/>
      <c r="CS89" s="103"/>
      <c r="CT89" s="103"/>
      <c r="CU89" s="103"/>
      <c r="CV89" s="103"/>
    </row>
    <row r="90" spans="1:100" ht="15.75" x14ac:dyDescent="0.15">
      <c r="A90" s="33"/>
      <c r="B90" s="36"/>
      <c r="C90" s="36"/>
      <c r="D90" s="36"/>
      <c r="E90" s="36"/>
      <c r="F90" s="36"/>
      <c r="G90" s="35"/>
      <c r="H90" s="114"/>
      <c r="I90" s="114"/>
      <c r="J90" s="114"/>
      <c r="K90" s="115"/>
      <c r="L90" s="114"/>
      <c r="M90" s="114"/>
      <c r="N90" s="114"/>
      <c r="O90" s="114"/>
      <c r="P90" s="114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  <c r="BM90" s="103"/>
      <c r="BN90" s="103"/>
      <c r="BO90" s="103"/>
      <c r="BP90" s="103"/>
      <c r="BQ90" s="103"/>
      <c r="BR90" s="103"/>
      <c r="BS90" s="103"/>
      <c r="BT90" s="103"/>
      <c r="BU90" s="103"/>
      <c r="BV90" s="103"/>
      <c r="BW90" s="103"/>
      <c r="BX90" s="103"/>
      <c r="BY90" s="103"/>
      <c r="BZ90" s="103"/>
      <c r="CA90" s="103"/>
      <c r="CB90" s="103"/>
      <c r="CC90" s="103"/>
      <c r="CD90" s="103"/>
      <c r="CE90" s="103"/>
      <c r="CF90" s="103"/>
      <c r="CG90" s="103"/>
      <c r="CH90" s="103"/>
      <c r="CI90" s="103"/>
      <c r="CJ90" s="103"/>
      <c r="CK90" s="103"/>
      <c r="CL90" s="103"/>
      <c r="CM90" s="103"/>
      <c r="CN90" s="103"/>
      <c r="CO90" s="103"/>
      <c r="CP90" s="103"/>
      <c r="CQ90" s="103"/>
      <c r="CR90" s="103"/>
      <c r="CS90" s="103"/>
      <c r="CT90" s="103"/>
      <c r="CU90" s="103"/>
      <c r="CV90" s="103"/>
    </row>
    <row r="91" spans="1:100" ht="15.75" x14ac:dyDescent="0.15">
      <c r="A91" s="33"/>
      <c r="B91" s="36"/>
      <c r="C91" s="36"/>
      <c r="D91" s="36"/>
      <c r="E91" s="36"/>
      <c r="F91" s="36"/>
      <c r="G91" s="35"/>
      <c r="H91" s="114"/>
      <c r="I91" s="114"/>
      <c r="J91" s="114"/>
      <c r="K91" s="115"/>
      <c r="L91" s="114"/>
      <c r="M91" s="114"/>
      <c r="N91" s="114"/>
      <c r="O91" s="114"/>
      <c r="P91" s="114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3"/>
      <c r="AN91" s="103"/>
      <c r="AO91" s="103"/>
      <c r="AP91" s="103"/>
      <c r="AQ91" s="103"/>
      <c r="AR91" s="103"/>
      <c r="AS91" s="103"/>
      <c r="AT91" s="103"/>
      <c r="AU91" s="103"/>
      <c r="AV91" s="103"/>
      <c r="AW91" s="103"/>
      <c r="AX91" s="103"/>
      <c r="AY91" s="103"/>
      <c r="AZ91" s="103"/>
      <c r="BA91" s="103"/>
      <c r="BB91" s="103"/>
      <c r="BC91" s="103"/>
      <c r="BD91" s="103"/>
      <c r="BE91" s="103"/>
      <c r="BF91" s="103"/>
      <c r="BG91" s="103"/>
      <c r="BH91" s="103"/>
      <c r="BI91" s="103"/>
      <c r="BJ91" s="103"/>
      <c r="BK91" s="103"/>
      <c r="BL91" s="10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103"/>
      <c r="CC91" s="103"/>
      <c r="CD91" s="103"/>
      <c r="CE91" s="103"/>
      <c r="CF91" s="103"/>
      <c r="CG91" s="103"/>
      <c r="CH91" s="103"/>
      <c r="CI91" s="103"/>
      <c r="CJ91" s="103"/>
      <c r="CK91" s="103"/>
      <c r="CL91" s="103"/>
      <c r="CM91" s="103"/>
      <c r="CN91" s="103"/>
      <c r="CO91" s="103"/>
      <c r="CP91" s="103"/>
      <c r="CQ91" s="103"/>
      <c r="CR91" s="103"/>
      <c r="CS91" s="103"/>
      <c r="CT91" s="103"/>
      <c r="CU91" s="103"/>
      <c r="CV91" s="103"/>
    </row>
    <row r="92" spans="1:100" ht="15.75" x14ac:dyDescent="0.15">
      <c r="A92" s="33"/>
      <c r="B92" s="36"/>
      <c r="C92" s="36"/>
      <c r="D92" s="36"/>
      <c r="E92" s="36"/>
      <c r="F92" s="36"/>
      <c r="G92" s="35"/>
      <c r="H92" s="114"/>
      <c r="I92" s="114"/>
      <c r="J92" s="114"/>
      <c r="K92" s="115"/>
      <c r="L92" s="114"/>
      <c r="M92" s="114"/>
      <c r="N92" s="114"/>
      <c r="O92" s="114"/>
      <c r="P92" s="114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/>
      <c r="CL92" s="103"/>
      <c r="CM92" s="103"/>
      <c r="CN92" s="103"/>
      <c r="CO92" s="103"/>
      <c r="CP92" s="103"/>
      <c r="CQ92" s="103"/>
      <c r="CR92" s="103"/>
      <c r="CS92" s="103"/>
      <c r="CT92" s="103"/>
      <c r="CU92" s="103"/>
      <c r="CV92" s="103"/>
    </row>
    <row r="93" spans="1:100" ht="15.75" x14ac:dyDescent="0.15">
      <c r="A93" s="33"/>
      <c r="B93" s="36"/>
      <c r="C93" s="36"/>
      <c r="D93" s="36"/>
      <c r="E93" s="36"/>
      <c r="F93" s="36"/>
      <c r="G93" s="35"/>
      <c r="H93" s="114"/>
      <c r="I93" s="114"/>
      <c r="J93" s="114"/>
      <c r="K93" s="115"/>
      <c r="L93" s="114"/>
      <c r="M93" s="114"/>
      <c r="N93" s="114"/>
      <c r="O93" s="114"/>
      <c r="P93" s="114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03"/>
      <c r="AD93" s="103"/>
      <c r="AE93" s="103"/>
      <c r="AF93" s="103"/>
      <c r="AG93" s="103"/>
      <c r="AH93" s="103"/>
      <c r="AI93" s="103"/>
      <c r="AJ93" s="103"/>
      <c r="AK93" s="103"/>
      <c r="AL93" s="103"/>
      <c r="AM93" s="103"/>
      <c r="AN93" s="103"/>
      <c r="AO93" s="103"/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  <c r="BM93" s="103"/>
      <c r="BN93" s="103"/>
      <c r="BO93" s="103"/>
      <c r="BP93" s="103"/>
      <c r="BQ93" s="103"/>
      <c r="BR93" s="103"/>
      <c r="BS93" s="103"/>
      <c r="BT93" s="103"/>
      <c r="BU93" s="103"/>
      <c r="BV93" s="103"/>
      <c r="BW93" s="103"/>
      <c r="BX93" s="103"/>
      <c r="BY93" s="103"/>
      <c r="BZ93" s="103"/>
      <c r="CA93" s="103"/>
      <c r="CB93" s="103"/>
      <c r="CC93" s="103"/>
      <c r="CD93" s="103"/>
      <c r="CE93" s="103"/>
      <c r="CF93" s="103"/>
      <c r="CG93" s="103"/>
      <c r="CH93" s="103"/>
      <c r="CI93" s="103"/>
      <c r="CJ93" s="103"/>
      <c r="CK93" s="103"/>
      <c r="CL93" s="103"/>
      <c r="CM93" s="103"/>
      <c r="CN93" s="103"/>
      <c r="CO93" s="103"/>
      <c r="CP93" s="103"/>
      <c r="CQ93" s="103"/>
      <c r="CR93" s="103"/>
      <c r="CS93" s="103"/>
      <c r="CT93" s="103"/>
      <c r="CU93" s="103"/>
      <c r="CV93" s="103"/>
    </row>
    <row r="94" spans="1:100" ht="15.75" x14ac:dyDescent="0.15">
      <c r="A94" s="33"/>
      <c r="B94" s="36"/>
      <c r="C94" s="36"/>
      <c r="D94" s="36"/>
      <c r="E94" s="36"/>
      <c r="F94" s="36"/>
      <c r="G94" s="35"/>
      <c r="H94" s="114"/>
      <c r="I94" s="114"/>
      <c r="J94" s="114"/>
      <c r="K94" s="115"/>
      <c r="L94" s="114"/>
      <c r="M94" s="114"/>
      <c r="N94" s="114"/>
      <c r="O94" s="114"/>
      <c r="P94" s="114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03"/>
      <c r="AD94" s="103"/>
      <c r="AE94" s="103"/>
      <c r="AF94" s="103"/>
      <c r="AG94" s="103"/>
      <c r="AH94" s="103"/>
      <c r="AI94" s="103"/>
      <c r="AJ94" s="103"/>
      <c r="AK94" s="103"/>
      <c r="AL94" s="103"/>
      <c r="AM94" s="103"/>
      <c r="AN94" s="103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  <c r="BM94" s="103"/>
      <c r="BN94" s="103"/>
      <c r="BO94" s="103"/>
      <c r="BP94" s="103"/>
      <c r="BQ94" s="103"/>
      <c r="BR94" s="103"/>
      <c r="BS94" s="103"/>
      <c r="BT94" s="103"/>
      <c r="BU94" s="103"/>
      <c r="BV94" s="103"/>
      <c r="BW94" s="103"/>
      <c r="BX94" s="103"/>
      <c r="BY94" s="103"/>
      <c r="BZ94" s="103"/>
      <c r="CA94" s="103"/>
      <c r="CB94" s="103"/>
      <c r="CC94" s="103"/>
      <c r="CD94" s="103"/>
      <c r="CE94" s="103"/>
      <c r="CF94" s="103"/>
      <c r="CG94" s="103"/>
      <c r="CH94" s="103"/>
      <c r="CI94" s="103"/>
      <c r="CJ94" s="103"/>
      <c r="CK94" s="103"/>
      <c r="CL94" s="103"/>
      <c r="CM94" s="103"/>
      <c r="CN94" s="103"/>
      <c r="CO94" s="103"/>
      <c r="CP94" s="103"/>
      <c r="CQ94" s="103"/>
      <c r="CR94" s="103"/>
      <c r="CS94" s="103"/>
      <c r="CT94" s="103"/>
      <c r="CU94" s="103"/>
      <c r="CV94" s="103"/>
    </row>
    <row r="95" spans="1:100" ht="15.75" x14ac:dyDescent="0.15">
      <c r="A95" s="33"/>
      <c r="B95" s="36"/>
      <c r="C95" s="36"/>
      <c r="D95" s="36"/>
      <c r="E95" s="36"/>
      <c r="F95" s="36"/>
      <c r="G95" s="35"/>
      <c r="H95" s="114"/>
      <c r="I95" s="114"/>
      <c r="J95" s="114"/>
      <c r="K95" s="114"/>
      <c r="L95" s="114"/>
      <c r="M95" s="114"/>
      <c r="N95" s="114"/>
      <c r="O95" s="114"/>
      <c r="P95" s="114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03"/>
      <c r="AD95" s="103"/>
      <c r="AE95" s="103"/>
      <c r="AF95" s="103"/>
      <c r="AG95" s="103"/>
      <c r="AH95" s="103"/>
      <c r="AI95" s="103"/>
      <c r="AJ95" s="103"/>
      <c r="AK95" s="103"/>
      <c r="AL95" s="103"/>
      <c r="AM95" s="103"/>
      <c r="AN95" s="10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  <c r="CJ95" s="103"/>
      <c r="CK95" s="103"/>
      <c r="CL95" s="103"/>
      <c r="CM95" s="103"/>
      <c r="CN95" s="103"/>
      <c r="CO95" s="103"/>
      <c r="CP95" s="103"/>
      <c r="CQ95" s="103"/>
      <c r="CR95" s="103"/>
      <c r="CS95" s="103"/>
      <c r="CT95" s="103"/>
      <c r="CU95" s="103"/>
      <c r="CV95" s="103"/>
    </row>
    <row r="96" spans="1:100" x14ac:dyDescent="0.15"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03"/>
      <c r="AD96" s="103"/>
      <c r="AE96" s="103"/>
      <c r="AF96" s="103"/>
      <c r="AG96" s="103"/>
      <c r="AH96" s="103"/>
      <c r="AI96" s="103"/>
      <c r="AJ96" s="103"/>
      <c r="AK96" s="103"/>
      <c r="AL96" s="103"/>
      <c r="AM96" s="103"/>
      <c r="AN96" s="103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  <c r="BM96" s="103"/>
      <c r="BN96" s="103"/>
      <c r="BO96" s="103"/>
      <c r="BP96" s="103"/>
      <c r="BQ96" s="103"/>
      <c r="BR96" s="103"/>
      <c r="BS96" s="103"/>
      <c r="BT96" s="103"/>
      <c r="BU96" s="103"/>
      <c r="BV96" s="103"/>
      <c r="BW96" s="103"/>
      <c r="BX96" s="103"/>
      <c r="BY96" s="103"/>
      <c r="BZ96" s="103"/>
      <c r="CA96" s="103"/>
      <c r="CB96" s="103"/>
      <c r="CC96" s="103"/>
      <c r="CD96" s="103"/>
      <c r="CE96" s="103"/>
      <c r="CF96" s="103"/>
      <c r="CG96" s="103"/>
      <c r="CH96" s="103"/>
      <c r="CI96" s="103"/>
      <c r="CJ96" s="103"/>
      <c r="CK96" s="103"/>
      <c r="CL96" s="103"/>
      <c r="CM96" s="103"/>
      <c r="CN96" s="103"/>
      <c r="CO96" s="103"/>
      <c r="CP96" s="103"/>
      <c r="CQ96" s="103"/>
      <c r="CR96" s="103"/>
      <c r="CS96" s="103"/>
      <c r="CT96" s="103"/>
      <c r="CU96" s="103"/>
      <c r="CV96" s="103"/>
    </row>
    <row r="97" spans="8:100" x14ac:dyDescent="0.15"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3"/>
      <c r="AN97" s="103"/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  <c r="BM97" s="103"/>
      <c r="BN97" s="103"/>
      <c r="BO97" s="103"/>
      <c r="BP97" s="103"/>
      <c r="BQ97" s="103"/>
      <c r="BR97" s="103"/>
      <c r="BS97" s="103"/>
      <c r="BT97" s="103"/>
      <c r="BU97" s="103"/>
      <c r="BV97" s="103"/>
      <c r="BW97" s="103"/>
      <c r="BX97" s="103"/>
      <c r="BY97" s="103"/>
      <c r="BZ97" s="103"/>
      <c r="CA97" s="103"/>
      <c r="CB97" s="103"/>
      <c r="CC97" s="103"/>
      <c r="CD97" s="103"/>
      <c r="CE97" s="103"/>
      <c r="CF97" s="103"/>
      <c r="CG97" s="103"/>
      <c r="CH97" s="103"/>
      <c r="CI97" s="103"/>
      <c r="CJ97" s="103"/>
      <c r="CK97" s="103"/>
      <c r="CL97" s="103"/>
      <c r="CM97" s="103"/>
      <c r="CN97" s="103"/>
      <c r="CO97" s="103"/>
      <c r="CP97" s="103"/>
      <c r="CQ97" s="103"/>
      <c r="CR97" s="103"/>
      <c r="CS97" s="103"/>
      <c r="CT97" s="103"/>
      <c r="CU97" s="103"/>
      <c r="CV97" s="103"/>
    </row>
    <row r="98" spans="8:100" x14ac:dyDescent="0.15"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03"/>
      <c r="AD98" s="103"/>
      <c r="AE98" s="103"/>
      <c r="AF98" s="103"/>
      <c r="AG98" s="103"/>
      <c r="AH98" s="103"/>
      <c r="AI98" s="103"/>
      <c r="AJ98" s="103"/>
      <c r="AK98" s="103"/>
      <c r="AL98" s="103"/>
      <c r="AM98" s="103"/>
      <c r="AN98" s="103"/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  <c r="BM98" s="103"/>
      <c r="BN98" s="103"/>
      <c r="BO98" s="103"/>
      <c r="BP98" s="103"/>
      <c r="BQ98" s="103"/>
      <c r="BR98" s="103"/>
      <c r="BS98" s="103"/>
      <c r="BT98" s="103"/>
      <c r="BU98" s="103"/>
      <c r="BV98" s="103"/>
      <c r="BW98" s="103"/>
      <c r="BX98" s="103"/>
      <c r="BY98" s="103"/>
      <c r="BZ98" s="103"/>
      <c r="CA98" s="103"/>
      <c r="CB98" s="103"/>
      <c r="CC98" s="103"/>
      <c r="CD98" s="103"/>
      <c r="CE98" s="103"/>
      <c r="CF98" s="103"/>
      <c r="CG98" s="103"/>
      <c r="CH98" s="103"/>
      <c r="CI98" s="103"/>
      <c r="CJ98" s="103"/>
      <c r="CK98" s="103"/>
      <c r="CL98" s="103"/>
      <c r="CM98" s="103"/>
      <c r="CN98" s="103"/>
      <c r="CO98" s="103"/>
      <c r="CP98" s="103"/>
      <c r="CQ98" s="103"/>
      <c r="CR98" s="103"/>
      <c r="CS98" s="103"/>
      <c r="CT98" s="103"/>
      <c r="CU98" s="103"/>
      <c r="CV98" s="103"/>
    </row>
    <row r="99" spans="8:100" x14ac:dyDescent="0.15"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03"/>
      <c r="AD99" s="103"/>
      <c r="AE99" s="103"/>
      <c r="AF99" s="103"/>
      <c r="AG99" s="103"/>
      <c r="AH99" s="103"/>
      <c r="AI99" s="103"/>
      <c r="AJ99" s="103"/>
      <c r="AK99" s="103"/>
      <c r="AL99" s="103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  <c r="BM99" s="103"/>
      <c r="BN99" s="103"/>
      <c r="BO99" s="103"/>
      <c r="BP99" s="103"/>
      <c r="BQ99" s="103"/>
      <c r="BR99" s="103"/>
      <c r="BS99" s="103"/>
      <c r="BT99" s="103"/>
      <c r="BU99" s="103"/>
      <c r="BV99" s="103"/>
      <c r="BW99" s="103"/>
      <c r="BX99" s="103"/>
      <c r="BY99" s="103"/>
      <c r="BZ99" s="103"/>
      <c r="CA99" s="103"/>
      <c r="CB99" s="103"/>
      <c r="CC99" s="103"/>
      <c r="CD99" s="103"/>
      <c r="CE99" s="103"/>
      <c r="CF99" s="103"/>
      <c r="CG99" s="103"/>
      <c r="CH99" s="103"/>
      <c r="CI99" s="103"/>
      <c r="CJ99" s="103"/>
      <c r="CK99" s="103"/>
      <c r="CL99" s="103"/>
      <c r="CM99" s="103"/>
      <c r="CN99" s="103"/>
      <c r="CO99" s="103"/>
      <c r="CP99" s="103"/>
      <c r="CQ99" s="103"/>
      <c r="CR99" s="103"/>
      <c r="CS99" s="103"/>
      <c r="CT99" s="103"/>
      <c r="CU99" s="103"/>
      <c r="CV99" s="103"/>
    </row>
    <row r="100" spans="8:100" x14ac:dyDescent="0.15"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03"/>
      <c r="AD100" s="103"/>
      <c r="AE100" s="103"/>
      <c r="AF100" s="103"/>
      <c r="AG100" s="103"/>
      <c r="AH100" s="103"/>
      <c r="AI100" s="103"/>
      <c r="AJ100" s="103"/>
      <c r="AK100" s="103"/>
      <c r="AL100" s="103"/>
      <c r="AM100" s="103"/>
      <c r="AN100" s="103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  <c r="BM100" s="103"/>
      <c r="BN100" s="103"/>
      <c r="BO100" s="103"/>
      <c r="BP100" s="103"/>
      <c r="BQ100" s="103"/>
      <c r="BR100" s="103"/>
      <c r="BS100" s="103"/>
      <c r="BT100" s="103"/>
      <c r="BU100" s="103"/>
      <c r="BV100" s="103"/>
      <c r="BW100" s="103"/>
      <c r="BX100" s="103"/>
      <c r="BY100" s="103"/>
      <c r="BZ100" s="103"/>
      <c r="CA100" s="103"/>
      <c r="CB100" s="103"/>
      <c r="CC100" s="103"/>
      <c r="CD100" s="103"/>
      <c r="CE100" s="103"/>
      <c r="CF100" s="103"/>
      <c r="CG100" s="103"/>
      <c r="CH100" s="103"/>
      <c r="CI100" s="103"/>
      <c r="CJ100" s="103"/>
      <c r="CK100" s="103"/>
      <c r="CL100" s="103"/>
      <c r="CM100" s="103"/>
      <c r="CN100" s="103"/>
      <c r="CO100" s="103"/>
      <c r="CP100" s="103"/>
      <c r="CQ100" s="103"/>
      <c r="CR100" s="103"/>
      <c r="CS100" s="103"/>
      <c r="CT100" s="103"/>
      <c r="CU100" s="103"/>
      <c r="CV100" s="103"/>
    </row>
    <row r="101" spans="8:100" x14ac:dyDescent="0.15"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  <c r="BM101" s="103"/>
      <c r="BN101" s="103"/>
      <c r="BO101" s="103"/>
      <c r="BP101" s="103"/>
      <c r="BQ101" s="103"/>
      <c r="BR101" s="103"/>
      <c r="BS101" s="103"/>
      <c r="BT101" s="103"/>
      <c r="BU101" s="103"/>
      <c r="BV101" s="103"/>
      <c r="BW101" s="103"/>
      <c r="BX101" s="103"/>
      <c r="BY101" s="103"/>
      <c r="BZ101" s="103"/>
      <c r="CA101" s="103"/>
      <c r="CB101" s="103"/>
      <c r="CC101" s="103"/>
      <c r="CD101" s="103"/>
      <c r="CE101" s="103"/>
      <c r="CF101" s="103"/>
      <c r="CG101" s="103"/>
      <c r="CH101" s="103"/>
      <c r="CI101" s="103"/>
      <c r="CJ101" s="103"/>
      <c r="CK101" s="103"/>
      <c r="CL101" s="103"/>
      <c r="CM101" s="103"/>
      <c r="CN101" s="103"/>
      <c r="CO101" s="103"/>
      <c r="CP101" s="103"/>
      <c r="CQ101" s="103"/>
      <c r="CR101" s="103"/>
      <c r="CS101" s="103"/>
      <c r="CT101" s="103"/>
      <c r="CU101" s="103"/>
      <c r="CV101" s="103"/>
    </row>
    <row r="102" spans="8:100" x14ac:dyDescent="0.15"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03"/>
      <c r="AD102" s="103"/>
      <c r="AE102" s="103"/>
      <c r="AF102" s="103"/>
      <c r="AG102" s="103"/>
      <c r="AH102" s="103"/>
      <c r="AI102" s="103"/>
      <c r="AJ102" s="103"/>
      <c r="AK102" s="103"/>
      <c r="AL102" s="103"/>
      <c r="AM102" s="103"/>
      <c r="AN102" s="103"/>
      <c r="AO102" s="103"/>
      <c r="AP102" s="103"/>
      <c r="AQ102" s="103"/>
      <c r="AR102" s="103"/>
      <c r="AS102" s="103"/>
      <c r="AT102" s="103"/>
      <c r="AU102" s="103"/>
      <c r="AV102" s="103"/>
      <c r="AW102" s="103"/>
      <c r="AX102" s="103"/>
      <c r="AY102" s="103"/>
      <c r="AZ102" s="103"/>
      <c r="BA102" s="103"/>
      <c r="BB102" s="103"/>
      <c r="BC102" s="103"/>
      <c r="BD102" s="103"/>
      <c r="BE102" s="103"/>
      <c r="BF102" s="103"/>
      <c r="BG102" s="103"/>
      <c r="BH102" s="103"/>
      <c r="BI102" s="103"/>
      <c r="BJ102" s="103"/>
      <c r="BK102" s="103"/>
      <c r="BL102" s="103"/>
      <c r="BM102" s="103"/>
      <c r="BN102" s="103"/>
      <c r="BO102" s="103"/>
      <c r="BP102" s="103"/>
      <c r="BQ102" s="103"/>
      <c r="BR102" s="103"/>
      <c r="BS102" s="103"/>
      <c r="BT102" s="103"/>
      <c r="BU102" s="103"/>
      <c r="BV102" s="103"/>
      <c r="BW102" s="103"/>
      <c r="BX102" s="103"/>
      <c r="BY102" s="103"/>
      <c r="BZ102" s="103"/>
      <c r="CA102" s="103"/>
      <c r="CB102" s="103"/>
      <c r="CC102" s="103"/>
      <c r="CD102" s="103"/>
      <c r="CE102" s="103"/>
      <c r="CF102" s="103"/>
      <c r="CG102" s="103"/>
      <c r="CH102" s="103"/>
      <c r="CI102" s="103"/>
      <c r="CJ102" s="103"/>
      <c r="CK102" s="103"/>
      <c r="CL102" s="103"/>
      <c r="CM102" s="103"/>
      <c r="CN102" s="103"/>
      <c r="CO102" s="103"/>
      <c r="CP102" s="103"/>
      <c r="CQ102" s="103"/>
      <c r="CR102" s="103"/>
      <c r="CS102" s="103"/>
      <c r="CT102" s="103"/>
      <c r="CU102" s="103"/>
      <c r="CV102" s="103"/>
    </row>
    <row r="103" spans="8:100" x14ac:dyDescent="0.15"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103"/>
      <c r="AM103" s="103"/>
      <c r="AN103" s="103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  <c r="BM103" s="103"/>
      <c r="BN103" s="103"/>
      <c r="BO103" s="103"/>
      <c r="BP103" s="103"/>
      <c r="BQ103" s="103"/>
      <c r="BR103" s="103"/>
      <c r="BS103" s="103"/>
      <c r="BT103" s="103"/>
      <c r="BU103" s="103"/>
      <c r="BV103" s="103"/>
      <c r="BW103" s="103"/>
      <c r="BX103" s="103"/>
      <c r="BY103" s="103"/>
      <c r="BZ103" s="103"/>
      <c r="CA103" s="103"/>
      <c r="CB103" s="103"/>
      <c r="CC103" s="103"/>
      <c r="CD103" s="103"/>
      <c r="CE103" s="103"/>
      <c r="CF103" s="103"/>
      <c r="CG103" s="103"/>
      <c r="CH103" s="103"/>
      <c r="CI103" s="103"/>
      <c r="CJ103" s="103"/>
      <c r="CK103" s="103"/>
      <c r="CL103" s="103"/>
      <c r="CM103" s="103"/>
      <c r="CN103" s="103"/>
      <c r="CO103" s="103"/>
      <c r="CP103" s="103"/>
      <c r="CQ103" s="103"/>
      <c r="CR103" s="103"/>
      <c r="CS103" s="103"/>
      <c r="CT103" s="103"/>
      <c r="CU103" s="103"/>
      <c r="CV103" s="103"/>
    </row>
    <row r="104" spans="8:100" x14ac:dyDescent="0.15"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03"/>
      <c r="AD104" s="103"/>
      <c r="AE104" s="103"/>
      <c r="AF104" s="103"/>
      <c r="AG104" s="103"/>
      <c r="AH104" s="103"/>
      <c r="AI104" s="103"/>
      <c r="AJ104" s="103"/>
      <c r="AK104" s="103"/>
      <c r="AL104" s="103"/>
      <c r="AM104" s="103"/>
      <c r="AN104" s="103"/>
      <c r="AO104" s="103"/>
      <c r="AP104" s="103"/>
      <c r="AQ104" s="103"/>
      <c r="AR104" s="103"/>
      <c r="AS104" s="103"/>
      <c r="AT104" s="103"/>
      <c r="AU104" s="103"/>
      <c r="AV104" s="103"/>
      <c r="AW104" s="103"/>
      <c r="AX104" s="103"/>
      <c r="AY104" s="103"/>
      <c r="AZ104" s="103"/>
      <c r="BA104" s="103"/>
      <c r="BB104" s="103"/>
      <c r="BC104" s="103"/>
      <c r="BD104" s="103"/>
      <c r="BE104" s="103"/>
      <c r="BF104" s="103"/>
      <c r="BG104" s="103"/>
      <c r="BH104" s="103"/>
      <c r="BI104" s="103"/>
      <c r="BJ104" s="103"/>
      <c r="BK104" s="103"/>
      <c r="BL104" s="103"/>
      <c r="BM104" s="103"/>
      <c r="BN104" s="103"/>
      <c r="BO104" s="103"/>
      <c r="BP104" s="103"/>
      <c r="BQ104" s="103"/>
      <c r="BR104" s="103"/>
      <c r="BS104" s="103"/>
      <c r="BT104" s="103"/>
      <c r="BU104" s="103"/>
      <c r="BV104" s="103"/>
      <c r="BW104" s="103"/>
      <c r="BX104" s="103"/>
      <c r="BY104" s="103"/>
      <c r="BZ104" s="103"/>
      <c r="CA104" s="103"/>
      <c r="CB104" s="103"/>
      <c r="CC104" s="103"/>
      <c r="CD104" s="103"/>
      <c r="CE104" s="103"/>
      <c r="CF104" s="103"/>
      <c r="CG104" s="103"/>
      <c r="CH104" s="103"/>
      <c r="CI104" s="103"/>
      <c r="CJ104" s="103"/>
      <c r="CK104" s="103"/>
      <c r="CL104" s="103"/>
      <c r="CM104" s="103"/>
      <c r="CN104" s="103"/>
      <c r="CO104" s="103"/>
      <c r="CP104" s="103"/>
      <c r="CQ104" s="103"/>
      <c r="CR104" s="103"/>
      <c r="CS104" s="103"/>
      <c r="CT104" s="103"/>
      <c r="CU104" s="103"/>
      <c r="CV104" s="103"/>
    </row>
    <row r="105" spans="8:100" x14ac:dyDescent="0.15"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03"/>
      <c r="AD105" s="103"/>
      <c r="AE105" s="103"/>
      <c r="AF105" s="103"/>
      <c r="AG105" s="103"/>
      <c r="AH105" s="103"/>
      <c r="AI105" s="103"/>
      <c r="AJ105" s="103"/>
      <c r="AK105" s="103"/>
      <c r="AL105" s="103"/>
      <c r="AM105" s="103"/>
      <c r="AN105" s="103"/>
      <c r="AO105" s="103"/>
      <c r="AP105" s="103"/>
      <c r="AQ105" s="103"/>
      <c r="AR105" s="103"/>
      <c r="AS105" s="103"/>
      <c r="AT105" s="103"/>
      <c r="AU105" s="103"/>
      <c r="AV105" s="103"/>
      <c r="AW105" s="103"/>
      <c r="AX105" s="103"/>
      <c r="AY105" s="103"/>
      <c r="AZ105" s="103"/>
      <c r="BA105" s="103"/>
      <c r="BB105" s="103"/>
      <c r="BC105" s="103"/>
      <c r="BD105" s="103"/>
      <c r="BE105" s="103"/>
      <c r="BF105" s="103"/>
      <c r="BG105" s="103"/>
      <c r="BH105" s="103"/>
      <c r="BI105" s="103"/>
      <c r="BJ105" s="103"/>
      <c r="BK105" s="103"/>
      <c r="BL105" s="103"/>
      <c r="BM105" s="103"/>
      <c r="BN105" s="103"/>
      <c r="BO105" s="103"/>
      <c r="BP105" s="103"/>
      <c r="BQ105" s="103"/>
      <c r="BR105" s="103"/>
      <c r="BS105" s="103"/>
      <c r="BT105" s="103"/>
      <c r="BU105" s="103"/>
      <c r="BV105" s="103"/>
      <c r="BW105" s="103"/>
      <c r="BX105" s="103"/>
      <c r="BY105" s="103"/>
      <c r="BZ105" s="103"/>
      <c r="CA105" s="103"/>
      <c r="CB105" s="103"/>
      <c r="CC105" s="103"/>
      <c r="CD105" s="103"/>
      <c r="CE105" s="103"/>
      <c r="CF105" s="103"/>
      <c r="CG105" s="103"/>
      <c r="CH105" s="103"/>
      <c r="CI105" s="103"/>
      <c r="CJ105" s="103"/>
      <c r="CK105" s="103"/>
      <c r="CL105" s="103"/>
      <c r="CM105" s="103"/>
      <c r="CN105" s="103"/>
      <c r="CO105" s="103"/>
      <c r="CP105" s="103"/>
      <c r="CQ105" s="103"/>
      <c r="CR105" s="103"/>
      <c r="CS105" s="103"/>
      <c r="CT105" s="103"/>
      <c r="CU105" s="103"/>
      <c r="CV105" s="103"/>
    </row>
    <row r="106" spans="8:100" x14ac:dyDescent="0.15"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03"/>
      <c r="AD106" s="103"/>
      <c r="AE106" s="103"/>
      <c r="AF106" s="103"/>
      <c r="AG106" s="103"/>
      <c r="AH106" s="103"/>
      <c r="AI106" s="103"/>
      <c r="AJ106" s="103"/>
      <c r="AK106" s="103"/>
      <c r="AL106" s="103"/>
      <c r="AM106" s="103"/>
      <c r="AN106" s="103"/>
      <c r="AO106" s="103"/>
      <c r="AP106" s="103"/>
      <c r="AQ106" s="103"/>
      <c r="AR106" s="103"/>
      <c r="AS106" s="103"/>
      <c r="AT106" s="103"/>
      <c r="AU106" s="103"/>
      <c r="AV106" s="103"/>
      <c r="AW106" s="103"/>
      <c r="AX106" s="103"/>
      <c r="AY106" s="103"/>
      <c r="AZ106" s="103"/>
      <c r="BA106" s="103"/>
      <c r="BB106" s="103"/>
      <c r="BC106" s="103"/>
      <c r="BD106" s="103"/>
      <c r="BE106" s="103"/>
      <c r="BF106" s="103"/>
      <c r="BG106" s="103"/>
      <c r="BH106" s="103"/>
      <c r="BI106" s="103"/>
      <c r="BJ106" s="103"/>
      <c r="BK106" s="103"/>
      <c r="BL106" s="103"/>
      <c r="BM106" s="103"/>
      <c r="BN106" s="103"/>
      <c r="BO106" s="103"/>
      <c r="BP106" s="103"/>
      <c r="BQ106" s="103"/>
      <c r="BR106" s="103"/>
      <c r="BS106" s="103"/>
      <c r="BT106" s="103"/>
      <c r="BU106" s="103"/>
      <c r="BV106" s="103"/>
      <c r="BW106" s="103"/>
      <c r="BX106" s="103"/>
      <c r="BY106" s="103"/>
      <c r="BZ106" s="103"/>
      <c r="CA106" s="103"/>
      <c r="CB106" s="103"/>
      <c r="CC106" s="103"/>
      <c r="CD106" s="103"/>
      <c r="CE106" s="103"/>
      <c r="CF106" s="103"/>
      <c r="CG106" s="103"/>
      <c r="CH106" s="103"/>
      <c r="CI106" s="103"/>
      <c r="CJ106" s="103"/>
      <c r="CK106" s="103"/>
      <c r="CL106" s="103"/>
      <c r="CM106" s="103"/>
      <c r="CN106" s="103"/>
      <c r="CO106" s="103"/>
      <c r="CP106" s="103"/>
      <c r="CQ106" s="103"/>
      <c r="CR106" s="103"/>
      <c r="CS106" s="103"/>
      <c r="CT106" s="103"/>
      <c r="CU106" s="103"/>
      <c r="CV106" s="103"/>
    </row>
    <row r="107" spans="8:100" x14ac:dyDescent="0.15"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03"/>
      <c r="AD107" s="103"/>
      <c r="AE107" s="103"/>
      <c r="AF107" s="103"/>
      <c r="AG107" s="103"/>
      <c r="AH107" s="103"/>
      <c r="AI107" s="103"/>
      <c r="AJ107" s="103"/>
      <c r="AK107" s="103"/>
      <c r="AL107" s="103"/>
      <c r="AM107" s="103"/>
      <c r="AN107" s="103"/>
      <c r="AO107" s="103"/>
      <c r="AP107" s="103"/>
      <c r="AQ107" s="103"/>
      <c r="AR107" s="103"/>
      <c r="AS107" s="103"/>
      <c r="AT107" s="103"/>
      <c r="AU107" s="103"/>
      <c r="AV107" s="103"/>
      <c r="AW107" s="103"/>
      <c r="AX107" s="103"/>
      <c r="AY107" s="103"/>
      <c r="AZ107" s="103"/>
      <c r="BA107" s="103"/>
      <c r="BB107" s="103"/>
      <c r="BC107" s="103"/>
      <c r="BD107" s="103"/>
      <c r="BE107" s="103"/>
      <c r="BF107" s="103"/>
      <c r="BG107" s="103"/>
      <c r="BH107" s="103"/>
      <c r="BI107" s="103"/>
      <c r="BJ107" s="103"/>
      <c r="BK107" s="103"/>
      <c r="BL107" s="103"/>
      <c r="BM107" s="103"/>
      <c r="BN107" s="103"/>
      <c r="BO107" s="103"/>
      <c r="BP107" s="103"/>
      <c r="BQ107" s="103"/>
      <c r="BR107" s="103"/>
      <c r="BS107" s="103"/>
      <c r="BT107" s="103"/>
      <c r="BU107" s="103"/>
      <c r="BV107" s="103"/>
      <c r="BW107" s="103"/>
      <c r="BX107" s="103"/>
      <c r="BY107" s="103"/>
      <c r="BZ107" s="103"/>
      <c r="CA107" s="103"/>
      <c r="CB107" s="103"/>
      <c r="CC107" s="103"/>
      <c r="CD107" s="103"/>
      <c r="CE107" s="103"/>
      <c r="CF107" s="103"/>
      <c r="CG107" s="103"/>
      <c r="CH107" s="103"/>
      <c r="CI107" s="103"/>
      <c r="CJ107" s="103"/>
      <c r="CK107" s="103"/>
      <c r="CL107" s="103"/>
      <c r="CM107" s="103"/>
      <c r="CN107" s="103"/>
      <c r="CO107" s="103"/>
      <c r="CP107" s="103"/>
      <c r="CQ107" s="103"/>
      <c r="CR107" s="103"/>
      <c r="CS107" s="103"/>
      <c r="CT107" s="103"/>
      <c r="CU107" s="103"/>
      <c r="CV107" s="103"/>
    </row>
  </sheetData>
  <mergeCells count="17">
    <mergeCell ref="R7:AA7"/>
    <mergeCell ref="AB7:AB8"/>
    <mergeCell ref="K1:P1"/>
    <mergeCell ref="Q1:V1"/>
    <mergeCell ref="A7:A8"/>
    <mergeCell ref="B7:B8"/>
    <mergeCell ref="C7:C8"/>
    <mergeCell ref="D7:D8"/>
    <mergeCell ref="E7:E8"/>
    <mergeCell ref="F7:F8"/>
    <mergeCell ref="G7:G8"/>
    <mergeCell ref="G1:J1"/>
    <mergeCell ref="G3:G5"/>
    <mergeCell ref="H3:H5"/>
    <mergeCell ref="I3:I5"/>
    <mergeCell ref="J3:J5"/>
    <mergeCell ref="H7:Q7"/>
  </mergeCells>
  <phoneticPr fontId="12"/>
  <conditionalFormatting sqref="S96:S1001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0:P1001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7:L996">
    <cfRule type="expression" dxfId="7" priority="7" stopIfTrue="1">
      <formula>INDIRECT("L"&amp;ROW())="Fail"</formula>
    </cfRule>
  </conditionalFormatting>
  <conditionalFormatting sqref="G9:G996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9:I1001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9:L1001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0:N95 J34:J95 K95" xr:uid="{63BF5A5E-1CBE-48A3-99F8-277D0089275B}">
      <formula1>$F$2:$I$2</formula1>
    </dataValidation>
    <dataValidation type="list" allowBlank="1" showInputMessage="1" showErrorMessage="1" sqref="L9:L95 P10:P95 I9:I95" xr:uid="{9080B43F-3C5A-4367-BF09-34E2177FF6C7}">
      <formula1>$K$2:$N$2</formula1>
    </dataValidation>
    <dataValidation type="list" allowBlank="1" showInputMessage="1" showErrorMessage="1" sqref="G9:G95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  <ds:schemaRef ds:uri="38c55fcc-c670-4ac4-8a9b-264c271983b2"/>
  </ds:schemaRefs>
</ds:datastoreItem>
</file>

<file path=customXml/itemProps3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2025-09-19T10:01:37Z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