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create-testcase\"/>
    </mc:Choice>
  </mc:AlternateContent>
  <xr:revisionPtr revIDLastSave="0" documentId="8_{CEB4A98D-F30B-4A6D-94CD-CFCA8A59721C}" xr6:coauthVersionLast="36" xr6:coauthVersionMax="36" xr10:uidLastSave="{00000000-0000-0000-0000-000000000000}"/>
  <bookViews>
    <workbookView xWindow="28680" yWindow="-120" windowWidth="29040" windowHeight="15840" tabRatio="732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</workbook>
</file>

<file path=xl/calcChain.xml><?xml version="1.0" encoding="utf-8"?>
<calcChain xmlns="http://schemas.openxmlformats.org/spreadsheetml/2006/main">
  <c r="U57" i="20" l="1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U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U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E44" i="20"/>
  <c r="D44" i="20"/>
  <c r="U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U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U51" i="20"/>
  <c r="T51" i="20"/>
  <c r="S51" i="20"/>
  <c r="R51" i="20"/>
  <c r="Q51" i="20"/>
  <c r="P51" i="20"/>
  <c r="P28" i="20" s="1"/>
  <c r="O51" i="20"/>
  <c r="N51" i="20"/>
  <c r="M51" i="20"/>
  <c r="L51" i="20"/>
  <c r="K51" i="20"/>
  <c r="J51" i="20"/>
  <c r="I51" i="20"/>
  <c r="H51" i="20"/>
  <c r="G51" i="20"/>
  <c r="F51" i="20"/>
  <c r="E51" i="20"/>
  <c r="D51" i="20"/>
  <c r="D28" i="20" s="1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B51" i="20"/>
  <c r="B40" i="20"/>
  <c r="C57" i="20"/>
  <c r="C46" i="20"/>
  <c r="C34" i="20"/>
  <c r="C22" i="20"/>
  <c r="C56" i="20"/>
  <c r="C45" i="20"/>
  <c r="C33" i="20"/>
  <c r="C21" i="20"/>
  <c r="C55" i="20"/>
  <c r="C44" i="20"/>
  <c r="C32" i="20"/>
  <c r="C20" i="20"/>
  <c r="C54" i="20"/>
  <c r="C43" i="20"/>
  <c r="C31" i="20"/>
  <c r="C19" i="20"/>
  <c r="M19" i="20" s="1"/>
  <c r="C53" i="20"/>
  <c r="C42" i="20"/>
  <c r="C30" i="20"/>
  <c r="C18" i="20"/>
  <c r="C52" i="20"/>
  <c r="C41" i="20"/>
  <c r="C29" i="20"/>
  <c r="C17" i="20"/>
  <c r="C51" i="20"/>
  <c r="C40" i="20"/>
  <c r="R20" i="20" s="1"/>
  <c r="C28" i="20"/>
  <c r="C16" i="20"/>
  <c r="V9" i="66"/>
  <c r="U9" i="66"/>
  <c r="S9" i="66"/>
  <c r="T9" i="66"/>
  <c r="R9" i="66"/>
  <c r="Q9" i="66"/>
  <c r="AW12" i="66"/>
  <c r="P9" i="66"/>
  <c r="O9" i="66"/>
  <c r="M9" i="66"/>
  <c r="N9" i="66"/>
  <c r="L9" i="66"/>
  <c r="K9" i="66"/>
  <c r="AA12" i="66"/>
  <c r="V8" i="66"/>
  <c r="U8" i="66"/>
  <c r="S8" i="66"/>
  <c r="T8" i="66"/>
  <c r="R8" i="66"/>
  <c r="Q8" i="66"/>
  <c r="AT12" i="66"/>
  <c r="P8" i="66"/>
  <c r="O8" i="66"/>
  <c r="M8" i="66"/>
  <c r="N8" i="66"/>
  <c r="L8" i="66"/>
  <c r="K8" i="66"/>
  <c r="X12" i="66"/>
  <c r="V7" i="66"/>
  <c r="U7" i="66"/>
  <c r="S7" i="66"/>
  <c r="T7" i="66"/>
  <c r="R7" i="66"/>
  <c r="Q7" i="66"/>
  <c r="AQ12" i="66"/>
  <c r="P7" i="66"/>
  <c r="O7" i="66"/>
  <c r="M7" i="66"/>
  <c r="N7" i="66"/>
  <c r="L7" i="66"/>
  <c r="K7" i="66"/>
  <c r="U12" i="66"/>
  <c r="V6" i="66"/>
  <c r="U6" i="66"/>
  <c r="S6" i="66"/>
  <c r="T6" i="66"/>
  <c r="R6" i="66"/>
  <c r="Q6" i="66"/>
  <c r="AN12" i="66"/>
  <c r="P6" i="66"/>
  <c r="O6" i="66"/>
  <c r="M6" i="66"/>
  <c r="N6" i="66"/>
  <c r="L6" i="66"/>
  <c r="K6" i="66"/>
  <c r="R12" i="66"/>
  <c r="V5" i="66"/>
  <c r="U5" i="66"/>
  <c r="S5" i="66"/>
  <c r="T5" i="66"/>
  <c r="R5" i="66"/>
  <c r="Q5" i="66"/>
  <c r="AK12" i="66"/>
  <c r="P5" i="66"/>
  <c r="O5" i="66"/>
  <c r="M5" i="66"/>
  <c r="N5" i="66"/>
  <c r="L5" i="66"/>
  <c r="K5" i="66"/>
  <c r="O12" i="66"/>
  <c r="V4" i="66"/>
  <c r="U4" i="66"/>
  <c r="S4" i="66"/>
  <c r="T4" i="66"/>
  <c r="R4" i="66"/>
  <c r="Q4" i="66"/>
  <c r="AH12" i="66"/>
  <c r="P4" i="66"/>
  <c r="O4" i="66"/>
  <c r="M4" i="66"/>
  <c r="N4" i="66"/>
  <c r="L4" i="66"/>
  <c r="K4" i="66"/>
  <c r="L12" i="66"/>
  <c r="V3" i="66"/>
  <c r="U3" i="66"/>
  <c r="S3" i="66"/>
  <c r="T3" i="66"/>
  <c r="R3" i="66"/>
  <c r="Q3" i="66"/>
  <c r="AE12" i="66"/>
  <c r="P3" i="66"/>
  <c r="O3" i="66"/>
  <c r="M3" i="66"/>
  <c r="N3" i="66"/>
  <c r="L3" i="66"/>
  <c r="K3" i="66"/>
  <c r="I12" i="66"/>
  <c r="F9" i="66"/>
  <c r="F8" i="66"/>
  <c r="F7" i="66"/>
  <c r="F6" i="66"/>
  <c r="F5" i="66"/>
  <c r="F4" i="66"/>
  <c r="F3" i="66"/>
  <c r="P16" i="20" l="1"/>
  <c r="J28" i="20"/>
  <c r="R28" i="20"/>
  <c r="M17" i="20"/>
  <c r="H20" i="20"/>
  <c r="H18" i="20"/>
  <c r="R21" i="20"/>
  <c r="R33" i="20"/>
  <c r="O9" i="20" s="1"/>
  <c r="H33" i="20"/>
  <c r="M22" i="20"/>
  <c r="H31" i="20"/>
  <c r="S31" i="20" s="1"/>
  <c r="M31" i="20"/>
  <c r="R34" i="20"/>
  <c r="M29" i="20"/>
  <c r="R29" i="20"/>
  <c r="R32" i="20"/>
  <c r="J30" i="20"/>
  <c r="D19" i="20"/>
  <c r="P19" i="20"/>
  <c r="J31" i="20"/>
  <c r="D20" i="20"/>
  <c r="P20" i="20"/>
  <c r="J32" i="20"/>
  <c r="L8" i="20" s="1"/>
  <c r="D21" i="20"/>
  <c r="P21" i="20"/>
  <c r="J33" i="20"/>
  <c r="D22" i="20"/>
  <c r="P22" i="20"/>
  <c r="J34" i="20"/>
  <c r="P18" i="20"/>
  <c r="M30" i="20"/>
  <c r="R31" i="20"/>
  <c r="Q18" i="20"/>
  <c r="K31" i="20"/>
  <c r="E20" i="20"/>
  <c r="Q20" i="20"/>
  <c r="K32" i="20"/>
  <c r="E21" i="20"/>
  <c r="Q21" i="20"/>
  <c r="K33" i="20"/>
  <c r="E22" i="20"/>
  <c r="Q22" i="20"/>
  <c r="K34" i="20"/>
  <c r="M18" i="20"/>
  <c r="R19" i="20"/>
  <c r="Q17" i="20"/>
  <c r="K30" i="20"/>
  <c r="M6" i="20" s="1"/>
  <c r="L29" i="20"/>
  <c r="F19" i="20"/>
  <c r="L31" i="20"/>
  <c r="F20" i="20"/>
  <c r="L32" i="20"/>
  <c r="F21" i="20"/>
  <c r="L33" i="20"/>
  <c r="F22" i="20"/>
  <c r="L34" i="20"/>
  <c r="J29" i="20"/>
  <c r="K29" i="20"/>
  <c r="E19" i="20"/>
  <c r="L28" i="20"/>
  <c r="F18" i="20"/>
  <c r="G17" i="20"/>
  <c r="G18" i="20"/>
  <c r="G19" i="20"/>
  <c r="G20" i="20"/>
  <c r="G21" i="20"/>
  <c r="G22" i="20"/>
  <c r="D18" i="20"/>
  <c r="K28" i="20"/>
  <c r="E18" i="20"/>
  <c r="Q19" i="20"/>
  <c r="R18" i="20"/>
  <c r="H22" i="20"/>
  <c r="L30" i="20"/>
  <c r="H29" i="20"/>
  <c r="R30" i="20"/>
  <c r="H34" i="20"/>
  <c r="H21" i="20"/>
  <c r="N28" i="20"/>
  <c r="N29" i="20"/>
  <c r="U29" i="20" s="1"/>
  <c r="N30" i="20"/>
  <c r="N31" i="20"/>
  <c r="N32" i="20"/>
  <c r="X32" i="20" s="1"/>
  <c r="N33" i="20"/>
  <c r="N34" i="20"/>
  <c r="M34" i="20"/>
  <c r="O28" i="20"/>
  <c r="O29" i="20"/>
  <c r="I18" i="20"/>
  <c r="O30" i="20"/>
  <c r="I19" i="20"/>
  <c r="O31" i="20"/>
  <c r="I20" i="20"/>
  <c r="O32" i="20"/>
  <c r="I21" i="20"/>
  <c r="O33" i="20"/>
  <c r="I22" i="20"/>
  <c r="O34" i="20"/>
  <c r="D29" i="20"/>
  <c r="P30" i="20"/>
  <c r="J19" i="20"/>
  <c r="D31" i="20"/>
  <c r="P31" i="20"/>
  <c r="J20" i="20"/>
  <c r="D32" i="20"/>
  <c r="P32" i="20"/>
  <c r="J21" i="20"/>
  <c r="D33" i="20"/>
  <c r="P33" i="20"/>
  <c r="J22" i="20"/>
  <c r="D34" i="20"/>
  <c r="P34" i="20"/>
  <c r="E29" i="20"/>
  <c r="Q30" i="20"/>
  <c r="Q31" i="20"/>
  <c r="K20" i="20"/>
  <c r="F8" i="20" s="1"/>
  <c r="E32" i="20"/>
  <c r="Q32" i="20"/>
  <c r="K21" i="20"/>
  <c r="F9" i="20" s="1"/>
  <c r="E33" i="20"/>
  <c r="L9" i="20" s="1"/>
  <c r="Q33" i="20"/>
  <c r="K22" i="20"/>
  <c r="E34" i="20"/>
  <c r="Q34" i="20"/>
  <c r="U34" i="20" s="1"/>
  <c r="D30" i="20"/>
  <c r="H32" i="20"/>
  <c r="M33" i="20"/>
  <c r="E30" i="20"/>
  <c r="L6" i="20" s="1"/>
  <c r="F29" i="20"/>
  <c r="L19" i="20"/>
  <c r="T19" i="20" s="1"/>
  <c r="F31" i="20"/>
  <c r="L20" i="20"/>
  <c r="F32" i="20"/>
  <c r="L21" i="20"/>
  <c r="F33" i="20"/>
  <c r="M9" i="20" s="1"/>
  <c r="L22" i="20"/>
  <c r="F34" i="20"/>
  <c r="J18" i="20"/>
  <c r="Q28" i="20"/>
  <c r="K18" i="20"/>
  <c r="F6" i="20" s="1"/>
  <c r="E31" i="20"/>
  <c r="H19" i="20"/>
  <c r="H7" i="20" s="1"/>
  <c r="M20" i="20"/>
  <c r="L17" i="20"/>
  <c r="G5" i="20" s="1"/>
  <c r="F30" i="20"/>
  <c r="M28" i="20"/>
  <c r="M32" i="20"/>
  <c r="O8" i="20" s="1"/>
  <c r="G28" i="20"/>
  <c r="G29" i="20"/>
  <c r="S29" i="20" s="1"/>
  <c r="G30" i="20"/>
  <c r="G31" i="20"/>
  <c r="G32" i="20"/>
  <c r="N8" i="20" s="1"/>
  <c r="G33" i="20"/>
  <c r="N9" i="20" s="1"/>
  <c r="G34" i="20"/>
  <c r="V34" i="20" s="1"/>
  <c r="P29" i="20"/>
  <c r="P35" i="20" s="1"/>
  <c r="E28" i="20"/>
  <c r="Q29" i="20"/>
  <c r="K19" i="20"/>
  <c r="F28" i="20"/>
  <c r="L18" i="20"/>
  <c r="H28" i="20"/>
  <c r="O4" i="20" s="1"/>
  <c r="N18" i="20"/>
  <c r="N19" i="20"/>
  <c r="N20" i="20"/>
  <c r="N21" i="20"/>
  <c r="N22" i="20"/>
  <c r="D10" i="20" s="1"/>
  <c r="M21" i="20"/>
  <c r="W21" i="20" s="1"/>
  <c r="R22" i="20"/>
  <c r="H10" i="20" s="1"/>
  <c r="H30" i="20"/>
  <c r="I28" i="20"/>
  <c r="I29" i="20"/>
  <c r="O18" i="20"/>
  <c r="E6" i="20" s="1"/>
  <c r="I30" i="20"/>
  <c r="W30" i="20" s="1"/>
  <c r="O19" i="20"/>
  <c r="I31" i="20"/>
  <c r="O20" i="20"/>
  <c r="E8" i="20" s="1"/>
  <c r="I32" i="20"/>
  <c r="W32" i="20" s="1"/>
  <c r="O21" i="20"/>
  <c r="I33" i="20"/>
  <c r="W33" i="20" s="1"/>
  <c r="O22" i="20"/>
  <c r="I34" i="20"/>
  <c r="O10" i="20"/>
  <c r="M10" i="20"/>
  <c r="M8" i="20"/>
  <c r="L10" i="20"/>
  <c r="G9" i="20"/>
  <c r="G10" i="20"/>
  <c r="F10" i="20"/>
  <c r="T22" i="20"/>
  <c r="X34" i="20"/>
  <c r="N7" i="20"/>
  <c r="V22" i="20"/>
  <c r="W22" i="20"/>
  <c r="S22" i="20"/>
  <c r="G8" i="20"/>
  <c r="N6" i="20"/>
  <c r="L5" i="20"/>
  <c r="X21" i="20"/>
  <c r="D7" i="20"/>
  <c r="V20" i="20"/>
  <c r="T18" i="20"/>
  <c r="E7" i="20"/>
  <c r="F7" i="20"/>
  <c r="S20" i="20"/>
  <c r="U30" i="20"/>
  <c r="X31" i="20"/>
  <c r="O5" i="20"/>
  <c r="O6" i="20"/>
  <c r="U28" i="20"/>
  <c r="G6" i="20"/>
  <c r="V19" i="20"/>
  <c r="W19" i="20"/>
  <c r="S19" i="20"/>
  <c r="V30" i="20"/>
  <c r="X30" i="20"/>
  <c r="K6" i="20"/>
  <c r="V29" i="20"/>
  <c r="W18" i="20"/>
  <c r="M16" i="20"/>
  <c r="M23" i="20" s="1"/>
  <c r="I17" i="20"/>
  <c r="O17" i="20"/>
  <c r="H17" i="20"/>
  <c r="H16" i="20"/>
  <c r="H23" i="20" s="1"/>
  <c r="I16" i="20"/>
  <c r="I23" i="20" s="1"/>
  <c r="J17" i="20"/>
  <c r="G16" i="20"/>
  <c r="G23" i="20" s="1"/>
  <c r="N17" i="20"/>
  <c r="N16" i="20"/>
  <c r="N23" i="20" s="1"/>
  <c r="O16" i="20"/>
  <c r="O23" i="20" s="1"/>
  <c r="D17" i="20"/>
  <c r="P17" i="20"/>
  <c r="J16" i="20"/>
  <c r="J23" i="20" s="1"/>
  <c r="K17" i="20"/>
  <c r="E16" i="20"/>
  <c r="K16" i="20"/>
  <c r="Q16" i="20"/>
  <c r="Q23" i="20" s="1"/>
  <c r="F17" i="20"/>
  <c r="R17" i="20"/>
  <c r="D16" i="20"/>
  <c r="E17" i="20"/>
  <c r="F16" i="20"/>
  <c r="F23" i="20" s="1"/>
  <c r="L16" i="20"/>
  <c r="L23" i="20" s="1"/>
  <c r="R16" i="20"/>
  <c r="R23" i="20" s="1"/>
  <c r="X28" i="20"/>
  <c r="K4" i="20"/>
  <c r="B3" i="66"/>
  <c r="B2" i="66"/>
  <c r="A19" i="66"/>
  <c r="A18" i="66"/>
  <c r="A17" i="66"/>
  <c r="A16" i="66"/>
  <c r="A14" i="66"/>
  <c r="A13" i="66"/>
  <c r="I3" i="66"/>
  <c r="H3" i="66"/>
  <c r="G3" i="66"/>
  <c r="V31" i="20" l="1"/>
  <c r="K35" i="20"/>
  <c r="U32" i="20"/>
  <c r="V28" i="20"/>
  <c r="F35" i="20"/>
  <c r="K5" i="20"/>
  <c r="T30" i="20"/>
  <c r="W34" i="20"/>
  <c r="M4" i="20"/>
  <c r="D35" i="20"/>
  <c r="U21" i="20"/>
  <c r="Q35" i="20"/>
  <c r="N35" i="20"/>
  <c r="D23" i="20"/>
  <c r="H35" i="20"/>
  <c r="G35" i="20"/>
  <c r="O35" i="20"/>
  <c r="R35" i="20"/>
  <c r="K23" i="20"/>
  <c r="E23" i="20"/>
  <c r="I35" i="20"/>
  <c r="M35" i="20"/>
  <c r="J35" i="20"/>
  <c r="P23" i="20"/>
  <c r="U22" i="20"/>
  <c r="S28" i="20"/>
  <c r="E35" i="20"/>
  <c r="S33" i="20"/>
  <c r="U33" i="20"/>
  <c r="H6" i="20"/>
  <c r="T28" i="20"/>
  <c r="L35" i="20"/>
  <c r="W29" i="20"/>
  <c r="S21" i="20"/>
  <c r="O7" i="20"/>
  <c r="Q7" i="20" s="1"/>
  <c r="M5" i="20"/>
  <c r="M7" i="20"/>
  <c r="X18" i="20"/>
  <c r="W20" i="20"/>
  <c r="T29" i="20"/>
  <c r="V21" i="20"/>
  <c r="N4" i="20"/>
  <c r="Q4" i="20" s="1"/>
  <c r="X22" i="20"/>
  <c r="N10" i="20"/>
  <c r="N5" i="20"/>
  <c r="Q5" i="20" s="1"/>
  <c r="T31" i="20"/>
  <c r="E10" i="20"/>
  <c r="X33" i="20"/>
  <c r="U19" i="20"/>
  <c r="V33" i="20"/>
  <c r="S34" i="20"/>
  <c r="U18" i="20"/>
  <c r="K7" i="20"/>
  <c r="W28" i="20"/>
  <c r="L4" i="20"/>
  <c r="P4" i="20" s="1"/>
  <c r="W31" i="20"/>
  <c r="E9" i="20"/>
  <c r="T21" i="20"/>
  <c r="K8" i="20"/>
  <c r="Q8" i="20" s="1"/>
  <c r="G7" i="20"/>
  <c r="I7" i="20" s="1"/>
  <c r="U20" i="20"/>
  <c r="S30" i="20"/>
  <c r="T20" i="20"/>
  <c r="U31" i="20"/>
  <c r="X29" i="20"/>
  <c r="S18" i="20"/>
  <c r="T32" i="20"/>
  <c r="K10" i="20"/>
  <c r="Q10" i="20" s="1"/>
  <c r="X19" i="20"/>
  <c r="V18" i="20"/>
  <c r="X20" i="20"/>
  <c r="D9" i="20"/>
  <c r="H8" i="20"/>
  <c r="T33" i="20"/>
  <c r="D6" i="20"/>
  <c r="H9" i="20"/>
  <c r="T34" i="20"/>
  <c r="D8" i="20"/>
  <c r="K9" i="20"/>
  <c r="Q9" i="20" s="1"/>
  <c r="L7" i="20"/>
  <c r="S32" i="20"/>
  <c r="V32" i="20"/>
  <c r="J10" i="20"/>
  <c r="I10" i="20"/>
  <c r="D4" i="20"/>
  <c r="W16" i="20"/>
  <c r="W23" i="20" s="1"/>
  <c r="E4" i="20"/>
  <c r="E5" i="20"/>
  <c r="X16" i="20"/>
  <c r="F4" i="20"/>
  <c r="Q6" i="20"/>
  <c r="P6" i="20"/>
  <c r="F5" i="20"/>
  <c r="U16" i="20"/>
  <c r="U17" i="20"/>
  <c r="X17" i="20"/>
  <c r="G4" i="20"/>
  <c r="T16" i="20"/>
  <c r="T23" i="20" s="1"/>
  <c r="H4" i="20"/>
  <c r="H5" i="20"/>
  <c r="D5" i="20"/>
  <c r="S17" i="20"/>
  <c r="V17" i="20"/>
  <c r="S16" i="20"/>
  <c r="V16" i="20"/>
  <c r="T17" i="20"/>
  <c r="W17" i="20"/>
  <c r="A15" i="66"/>
  <c r="J3" i="66"/>
  <c r="T35" i="20" l="1"/>
  <c r="X35" i="20"/>
  <c r="V35" i="20"/>
  <c r="W35" i="20"/>
  <c r="U35" i="20"/>
  <c r="P7" i="20"/>
  <c r="X23" i="20"/>
  <c r="S35" i="20"/>
  <c r="I6" i="20"/>
  <c r="U23" i="20"/>
  <c r="V23" i="20"/>
  <c r="J6" i="20"/>
  <c r="S23" i="20"/>
  <c r="P8" i="20"/>
  <c r="P5" i="20"/>
  <c r="P10" i="20"/>
  <c r="J8" i="20"/>
  <c r="J7" i="20"/>
  <c r="I8" i="20"/>
  <c r="J9" i="20"/>
  <c r="P9" i="20"/>
  <c r="I9" i="20"/>
  <c r="J4" i="20"/>
  <c r="J5" i="20"/>
  <c r="I5" i="20"/>
  <c r="I4" i="20"/>
</calcChain>
</file>

<file path=xl/sharedStrings.xml><?xml version="1.0" encoding="utf-8"?>
<sst xmlns="http://schemas.openxmlformats.org/spreadsheetml/2006/main" count="229" uniqueCount="77">
  <si>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</si>
  <si>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</si>
  <si>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</si>
  <si>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</si>
  <si>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</si>
  <si>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</si>
  <si>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</si>
  <si>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</si>
  <si>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</si>
  <si>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</si>
  <si>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</si>
  <si>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</si>
  <si>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</si>
  <si>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</si>
  <si>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</si>
  <si>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</si>
  <si>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</si>
  <si>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</si>
  <si>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</si>
  <si>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</si>
  <si>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</si>
  <si>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</si>
  <si>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</si>
  <si>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</si>
  <si>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</si>
  <si>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</si>
  <si>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</si>
  <si>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</si>
  <si>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</si>
  <si>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</si>
  <si>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</si>
  <si>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</si>
  <si>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</si>
  <si>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</si>
  <si>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</si>
  <si>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</si>
  <si>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</si>
  <si>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</si>
  <si>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</si>
  <si>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</si>
  <si>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</si>
  <si>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</si>
  <si>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</si>
  <si>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</si>
  <si>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</si>
  <si>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</si>
  <si>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</si>
  <si>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</si>
  <si>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</si>
  <si>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</si>
  <si>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</si>
  <si>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% Coverage</t>
  </si>
  <si>
    <t>% Pass converage</t>
  </si>
  <si>
    <t>Round1</t>
  </si>
  <si>
    <t>Test Result</t>
  </si>
  <si>
    <t>Test coverage (%)</t>
  </si>
  <si>
    <t>Total:</t>
  </si>
  <si>
    <t>No</t>
  </si>
  <si>
    <t>Module/Function</t>
  </si>
  <si>
    <t>Total TC</t>
  </si>
  <si>
    <t>Creator</t>
  </si>
  <si>
    <t>General statistic</t>
  </si>
  <si>
    <t>Pass coverage (%)</t>
  </si>
  <si>
    <t>Round 1 in detail</t>
  </si>
  <si>
    <t>Round 2 in detail</t>
  </si>
  <si>
    <t>Module 1</t>
  </si>
  <si>
    <t>Test result round 1</t>
  </si>
  <si>
    <t>BugID</t>
  </si>
  <si>
    <t>Test result round 2</t>
  </si>
  <si>
    <t>Round base statistic</t>
  </si>
  <si>
    <t>EV1</t>
  </si>
  <si>
    <t>EV2</t>
  </si>
  <si>
    <t>EV3</t>
  </si>
  <si>
    <t>EV4</t>
  </si>
  <si>
    <t>EV5</t>
  </si>
  <si>
    <t>EV6</t>
  </si>
  <si>
    <t>EV7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</si>
</sst>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"/>
  </numFmts>
  <fonts count="20">
    <font>
      <sz val="11"/>
      <color theme="1"/>
      <name val="Calibri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Calibri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30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3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64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64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64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0" fontId="13" fillId="5" borderId="12" xfId="0" applyFont="1" applyFill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164" fontId="11" fillId="6" borderId="3" xfId="0" applyNumberFormat="1" applyFont="1" applyFill="1" applyBorder="1" applyAlignment="1">
      <alignment horizontal="center" vertical="center" wrapText="1"/>
    </xf>
    <xf numFmtId="164" fontId="11" fillId="6" borderId="6" xfId="0" applyNumberFormat="1" applyFont="1" applyFill="1" applyBorder="1" applyAlignment="1">
      <alignment horizontal="center" vertical="center" wrapText="1"/>
    </xf>
    <xf numFmtId="164" fontId="11" fillId="6" borderId="7" xfId="0" applyNumberFormat="1" applyFont="1" applyFill="1" applyBorder="1" applyAlignment="1">
      <alignment horizontal="center" vertical="center" wrapText="1"/>
    </xf>
    <xf numFmtId="164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center" vertical="center" wrapText="1"/>
    </xf>
    <xf numFmtId="0" fontId="13" fillId="13" borderId="14" xfId="0" applyFont="1" applyFill="1" applyBorder="1" applyAlignment="1">
      <alignment horizontal="center" vertical="center" wrapText="1"/>
    </xf>
    <xf numFmtId="0" fontId="14" fillId="13" borderId="14" xfId="0" applyFont="1" applyFill="1" applyBorder="1" applyAlignment="1">
      <alignment horizontal="center" vertical="center" wrapText="1"/>
    </xf>
    <xf numFmtId="9" fontId="8" fillId="13" borderId="14" xfId="0" applyNumberFormat="1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9" fontId="8" fillId="14" borderId="14" xfId="0" applyNumberFormat="1" applyFont="1" applyFill="1" applyBorder="1" applyAlignment="1">
      <alignment horizontal="center" vertical="center" wrapText="1"/>
    </xf>
    <xf numFmtId="0" fontId="19" fillId="5" borderId="13" xfId="0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14" fillId="17" borderId="14" xfId="0" applyFont="1" applyFill="1" applyBorder="1" applyAlignment="1">
      <alignment horizontal="center" vertical="center" wrapText="1"/>
    </xf>
    <xf numFmtId="0" fontId="13" fillId="18" borderId="14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 wrapText="1"/>
    </xf>
    <xf numFmtId="0" fontId="14" fillId="16" borderId="20" xfId="0" applyFont="1" applyFill="1" applyBorder="1" applyAlignment="1">
      <alignment horizontal="center" vertical="center" wrapText="1"/>
    </xf>
    <xf numFmtId="0" fontId="13" fillId="17" borderId="20" xfId="0" applyFont="1" applyFill="1" applyBorder="1" applyAlignment="1">
      <alignment horizontal="center" vertical="center" wrapText="1"/>
    </xf>
    <xf numFmtId="0" fontId="14" fillId="17" borderId="20" xfId="0" applyFont="1" applyFill="1" applyBorder="1" applyAlignment="1">
      <alignment horizontal="center" vertical="center" wrapText="1"/>
    </xf>
    <xf numFmtId="0" fontId="13" fillId="18" borderId="20" xfId="0" applyFont="1" applyFill="1" applyBorder="1" applyAlignment="1">
      <alignment horizontal="center" vertical="center" wrapText="1"/>
    </xf>
    <xf numFmtId="0" fontId="14" fillId="18" borderId="20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5" borderId="24" xfId="0" applyFont="1" applyFill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 wrapText="1"/>
    </xf>
    <xf numFmtId="14" fontId="4" fillId="0" borderId="14" xfId="0" applyNumberFormat="1" applyFont="1" applyFill="1" applyBorder="1" applyAlignment="1">
      <alignment vertical="center" wrapText="1"/>
    </xf>
    <xf numFmtId="0" fontId="0" fillId="0" borderId="14" xfId="0" applyFill="1" applyBorder="1" applyAlignment="1"/>
    <xf numFmtId="0" fontId="17" fillId="0" borderId="0" xfId="0" applyFont="1" applyFill="1" applyBorder="1" applyAlignment="1">
      <alignment horizontal="center" vertical="center"/>
    </xf>
    <xf numFmtId="164" fontId="11" fillId="9" borderId="26" xfId="0" applyNumberFormat="1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right" vertical="center" wrapText="1"/>
    </xf>
    <xf numFmtId="0" fontId="4" fillId="7" borderId="26" xfId="0" applyFont="1" applyFill="1" applyBorder="1" applyAlignment="1">
      <alignment horizontal="center" vertical="center" wrapText="1"/>
    </xf>
    <xf numFmtId="9" fontId="4" fillId="7" borderId="26" xfId="0" applyNumberFormat="1" applyFont="1" applyFill="1" applyBorder="1" applyAlignment="1">
      <alignment horizontal="center" vertical="center" wrapText="1"/>
    </xf>
    <xf numFmtId="164" fontId="11" fillId="9" borderId="20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right" vertical="center" wrapText="1"/>
    </xf>
    <xf numFmtId="0" fontId="4" fillId="7" borderId="20" xfId="0" applyFont="1" applyFill="1" applyBorder="1" applyAlignment="1">
      <alignment horizontal="center" vertical="center" wrapText="1"/>
    </xf>
    <xf numFmtId="9" fontId="4" fillId="7" borderId="20" xfId="0" applyNumberFormat="1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5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workbookViewId="0">
      <selection activeCell="K15" sqref="K15:L15"/>
    </sheetView>
  </sheetViews>
  <sheetFormatPr defaultColWidth="8.85546875" defaultRowHeight="15.75"/>
  <cols>
    <col min="1" max="1" width="4.85546875" style="5" customWidth="1"/>
    <col min="2" max="2" width="16" style="5" customWidth="1"/>
    <col min="3" max="3" width="9" style="5" customWidth="1"/>
    <col min="4" max="4" width="22.42578125" style="5" customWidth="1"/>
    <col min="5" max="5" width="9.42578125" style="5" customWidth="1"/>
    <col min="6" max="6" width="18.5703125" style="5" customWidth="1"/>
    <col min="7" max="7" width="18.42578125" style="5" customWidth="1"/>
    <col min="8" max="8" width="12.85546875" style="5" customWidth="1"/>
    <col min="9" max="16384" width="8.85546875" style="5"/>
  </cols>
  <sheetData>
    <row r="1" spans="1:8" ht="39.75" customHeight="1">
      <c r="A1" s="8"/>
      <c r="B1" s="7"/>
      <c r="C1" s="9"/>
      <c r="D1" s="12" t="s">
        <v>0</v>
      </c>
      <c r="E1" s="9"/>
      <c r="F1" s="9"/>
      <c r="G1" s="9"/>
      <c r="H1" s="6"/>
    </row>
    <row r="2" spans="1:8">
      <c r="A2" s="8"/>
      <c r="B2" s="7"/>
      <c r="C2" s="9"/>
      <c r="D2" s="9"/>
      <c r="E2" s="9"/>
      <c r="F2" s="9"/>
      <c r="G2" s="9"/>
      <c r="H2" s="6"/>
    </row>
    <row r="3" spans="1:8">
      <c r="A3" s="8"/>
      <c r="B3" s="47" t="s">
        <v>1</v>
      </c>
      <c r="C3" s="47"/>
      <c r="D3" s="21" t="s">
        <v>2</v>
      </c>
      <c r="E3" s="47" t="s">
        <v>3</v>
      </c>
      <c r="F3" s="47"/>
      <c r="G3" s="48" t="s">
        <v>4</v>
      </c>
      <c r="H3" s="49"/>
    </row>
    <row r="4" spans="1:8">
      <c r="A4" s="8"/>
      <c r="B4" s="47" t="s">
        <v>5</v>
      </c>
      <c r="C4" s="47"/>
      <c r="D4" s="21" t="s">
        <v>6</v>
      </c>
      <c r="E4" s="47" t="s">
        <v>7</v>
      </c>
      <c r="F4" s="47"/>
      <c r="G4" s="50"/>
      <c r="H4" s="51"/>
    </row>
    <row r="5" spans="1:8">
      <c r="A5" s="8"/>
      <c r="B5" s="7"/>
      <c r="C5" s="9"/>
      <c r="D5" s="9"/>
      <c r="E5" s="9"/>
      <c r="F5" s="9"/>
      <c r="G5" s="9"/>
      <c r="H5" s="6"/>
    </row>
    <row r="6" spans="1:8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>
      <c r="A8" s="8"/>
      <c r="B8" s="23"/>
      <c r="C8" s="24"/>
      <c r="D8" s="25"/>
      <c r="E8" s="26"/>
      <c r="F8" s="27"/>
      <c r="G8" s="23"/>
      <c r="H8" s="28"/>
    </row>
    <row r="9" spans="1:8">
      <c r="A9" s="8"/>
      <c r="B9" s="29"/>
      <c r="C9" s="24"/>
      <c r="D9" s="25"/>
      <c r="E9" s="26"/>
      <c r="F9" s="27"/>
      <c r="G9" s="25"/>
      <c r="H9" s="28"/>
    </row>
    <row r="10" spans="1:8">
      <c r="A10" s="8"/>
      <c r="B10" s="29"/>
      <c r="C10" s="24"/>
      <c r="D10" s="25"/>
      <c r="E10" s="26"/>
      <c r="F10" s="27"/>
      <c r="G10" s="25"/>
      <c r="H10" s="28"/>
    </row>
    <row r="11" spans="1:8">
      <c r="A11" s="8"/>
      <c r="B11" s="29"/>
      <c r="C11" s="24"/>
      <c r="D11" s="25"/>
      <c r="E11" s="26"/>
      <c r="F11" s="27"/>
      <c r="G11" s="25"/>
      <c r="H11" s="28"/>
    </row>
    <row r="12" spans="1:8">
      <c r="A12" s="8"/>
      <c r="B12" s="29"/>
      <c r="C12" s="24"/>
      <c r="D12" s="25"/>
      <c r="E12" s="26"/>
      <c r="F12" s="27"/>
      <c r="G12" s="25"/>
      <c r="H12" s="28"/>
    </row>
    <row r="13" spans="1:8">
      <c r="A13" s="8"/>
      <c r="B13" s="29"/>
      <c r="C13" s="24"/>
      <c r="D13" s="25"/>
      <c r="E13" s="26"/>
      <c r="F13" s="27"/>
      <c r="G13" s="25"/>
      <c r="H13" s="28"/>
    </row>
    <row r="14" spans="1:8">
      <c r="A14" s="8"/>
      <c r="B14" s="29"/>
      <c r="C14" s="24"/>
      <c r="D14" s="25"/>
      <c r="E14" s="26"/>
      <c r="F14" s="27"/>
      <c r="G14" s="25"/>
      <c r="H14" s="28"/>
    </row>
    <row r="15" spans="1:8">
      <c r="A15" s="8"/>
      <c r="B15" s="29"/>
      <c r="C15" s="24"/>
      <c r="D15" s="25"/>
      <c r="E15" s="26"/>
      <c r="F15" s="27"/>
      <c r="G15" s="25"/>
      <c r="H15" s="28"/>
    </row>
    <row r="16" spans="1:8">
      <c r="A16" s="8"/>
      <c r="B16" s="29"/>
      <c r="C16" s="24"/>
      <c r="D16" s="25"/>
      <c r="E16" s="26"/>
      <c r="F16" s="27"/>
      <c r="G16" s="25"/>
      <c r="H16" s="28"/>
    </row>
    <row r="17" spans="1:8">
      <c r="A17" s="8"/>
      <c r="B17" s="29"/>
      <c r="C17" s="24"/>
      <c r="D17" s="25"/>
      <c r="E17" s="26"/>
      <c r="F17" s="27"/>
      <c r="G17" s="25"/>
      <c r="H17" s="28"/>
    </row>
    <row r="18" spans="1:8">
      <c r="A18" s="8"/>
      <c r="B18" s="29"/>
      <c r="C18" s="24"/>
      <c r="D18" s="25"/>
      <c r="E18" s="26"/>
      <c r="F18" s="27"/>
      <c r="G18" s="25"/>
      <c r="H18" s="28"/>
    </row>
    <row r="19" spans="1:8">
      <c r="A19" s="8"/>
      <c r="B19" s="8"/>
      <c r="C19" s="8"/>
      <c r="D19" s="8"/>
      <c r="E19" s="8"/>
      <c r="F19" s="8"/>
      <c r="G19" s="8"/>
      <c r="H19" s="6"/>
    </row>
    <row r="20" spans="1:8">
      <c r="A20" s="8"/>
      <c r="B20" s="8"/>
      <c r="C20" s="8"/>
      <c r="D20" s="8"/>
      <c r="E20" s="8"/>
      <c r="F20" s="8"/>
      <c r="G20" s="8"/>
      <c r="H20" s="6"/>
    </row>
    <row r="21" spans="1:8">
      <c r="A21" s="8"/>
      <c r="B21" s="8"/>
      <c r="C21" s="8"/>
      <c r="D21" s="8"/>
      <c r="E21" s="8"/>
      <c r="F21" s="8"/>
      <c r="G21" s="8"/>
      <c r="H21" s="6"/>
    </row>
    <row r="22" spans="1:8">
      <c r="A22" s="8"/>
      <c r="B22" s="8"/>
      <c r="C22" s="8"/>
      <c r="D22" s="8"/>
      <c r="E22" s="8"/>
      <c r="F22" s="8"/>
      <c r="G22" s="8"/>
      <c r="H22" s="6"/>
    </row>
    <row r="23" spans="1:8">
      <c r="A23" s="8"/>
      <c r="B23" s="8"/>
      <c r="C23" s="8"/>
      <c r="D23" s="8"/>
      <c r="E23" s="8"/>
      <c r="F23" s="8"/>
      <c r="G23" s="8"/>
      <c r="H23" s="6"/>
    </row>
    <row r="24" spans="1:8">
      <c r="A24" s="8"/>
      <c r="B24" s="8"/>
      <c r="C24" s="8"/>
      <c r="D24" s="8"/>
      <c r="E24" s="8"/>
      <c r="F24" s="8"/>
      <c r="G24" s="8"/>
      <c r="H24" s="6"/>
    </row>
    <row r="25" spans="1:8">
      <c r="A25" s="8"/>
      <c r="B25" s="8"/>
      <c r="C25" s="8"/>
      <c r="D25" s="8"/>
      <c r="E25" s="8"/>
      <c r="F25" s="8"/>
      <c r="G25" s="8"/>
      <c r="H25" s="6"/>
    </row>
    <row r="26" spans="1:8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57"/>
  <sheetViews>
    <sheetView zoomScale="90" zoomScaleNormal="90" zoomScalePageLayoutView="180" workbookViewId="0">
      <selection activeCell="A48" sqref="A48:X57"/>
    </sheetView>
  </sheetViews>
  <sheetFormatPr defaultColWidth="8.5703125" defaultRowHeight="15.75"/>
  <cols>
    <col min="1" max="1" width="4.7109375" style="13" customWidth="1"/>
    <col min="2" max="2" width="16.7109375" style="13" customWidth="1"/>
    <col min="3" max="3" width="13.7109375" style="13" customWidth="1"/>
    <col min="4" max="7" width="10.28515625" style="13" customWidth="1"/>
    <col min="8" max="8" width="10.28515625" style="14" customWidth="1"/>
    <col min="9" max="12" width="10.28515625" style="13" customWidth="1"/>
    <col min="13" max="13" width="10.28515625" style="14" customWidth="1"/>
    <col min="14" max="17" width="10.28515625" style="13" customWidth="1"/>
    <col min="18" max="19" width="8.5703125" style="14"/>
    <col min="20" max="25" width="8.5703125" style="13"/>
    <col min="26" max="26" width="4.7109375" style="13" customWidth="1"/>
    <col min="27" max="27" width="16.7109375" style="13" customWidth="1"/>
    <col min="28" max="28" width="13.7109375" style="13" customWidth="1"/>
    <col min="29" max="49" width="10.28515625" style="13" customWidth="1"/>
    <col min="50" max="16384" width="8.5703125" style="13"/>
  </cols>
  <sheetData>
    <row r="2" spans="1:24">
      <c r="A2" s="40"/>
      <c r="B2" s="40"/>
      <c r="C2" s="41"/>
      <c r="D2" s="62" t="s">
        <v>17</v>
      </c>
      <c r="E2" s="62"/>
      <c r="F2" s="62"/>
      <c r="G2" s="62"/>
      <c r="H2" s="62"/>
      <c r="I2" s="62"/>
      <c r="J2" s="62"/>
      <c r="K2" s="62" t="s">
        <v>32</v>
      </c>
      <c r="L2" s="62"/>
      <c r="M2" s="62"/>
      <c r="N2" s="62"/>
      <c r="O2" s="62"/>
      <c r="P2" s="62"/>
      <c r="Q2" s="62"/>
    </row>
    <row r="3" spans="1:24" ht="47.25">
      <c r="A3" s="71" t="s">
        <v>61</v>
      </c>
      <c r="B3" s="96"/>
      <c r="C3" s="45"/>
      <c r="D3" s="63" t="s">
        <v>18</v>
      </c>
      <c r="E3" s="63" t="s">
        <v>19</v>
      </c>
      <c r="F3" s="63" t="s">
        <v>20</v>
      </c>
      <c r="G3" s="63" t="s">
        <v>21</v>
      </c>
      <c r="H3" s="63" t="s">
        <v>22</v>
      </c>
      <c r="I3" s="63" t="s">
        <v>51</v>
      </c>
      <c r="J3" s="63" t="s">
        <v>52</v>
      </c>
      <c r="K3" s="63" t="s">
        <v>18</v>
      </c>
      <c r="L3" s="63" t="s">
        <v>19</v>
      </c>
      <c r="M3" s="63" t="s">
        <v>20</v>
      </c>
      <c r="N3" s="63" t="s">
        <v>21</v>
      </c>
      <c r="O3" s="63" t="s">
        <v>22</v>
      </c>
      <c r="P3" s="63" t="s">
        <v>51</v>
      </c>
      <c r="Q3" s="63" t="s">
        <v>52</v>
      </c>
    </row>
    <row r="4" spans="1:24">
      <c r="A4" s="64" t="s">
        <v>23</v>
      </c>
      <c r="B4" s="97"/>
      <c r="C4" s="61" t="s">
        <v>70</v>
      </c>
      <c r="D4" s="65">
        <f>D16+I16+N16</f>
        <v>0</v>
      </c>
      <c r="E4" s="65">
        <f>E16+J16+O16</f>
        <v>0</v>
      </c>
      <c r="F4" s="65">
        <f>F16+K16+P16</f>
        <v>0</v>
      </c>
      <c r="G4" s="65">
        <f>G16+L16+Q16</f>
        <v>0</v>
      </c>
      <c r="H4" s="66">
        <f>H16+M16+R16</f>
        <v>3</v>
      </c>
      <c r="I4" s="67">
        <f>ROUND((D4+E4)*100/(H4-G4),2)</f>
        <v>0</v>
      </c>
      <c r="J4" s="67">
        <f>ROUND(D4*100/(H4-G4),2)</f>
        <v>0</v>
      </c>
      <c r="K4" s="68">
        <f>D28+I28+N28</f>
        <v>0</v>
      </c>
      <c r="L4" s="68">
        <f>E28+J28+O28</f>
        <v>0</v>
      </c>
      <c r="M4" s="68">
        <f>F28+K28+P28</f>
        <v>0</v>
      </c>
      <c r="N4" s="68">
        <f>G28+L28+Q28</f>
        <v>0</v>
      </c>
      <c r="O4" s="69">
        <f>H28+M28+R28</f>
        <v>3</v>
      </c>
      <c r="P4" s="70">
        <f>ROUND((K4+L4)*100/(O4-N4),2)</f>
        <v>0</v>
      </c>
      <c r="Q4" s="70">
        <f>ROUND(K4*100/(O4-N4),2)</f>
        <v>0</v>
      </c>
    </row>
    <row r="5" spans="1:24">
      <c r="A5" s="64"/>
      <c r="B5" s="97"/>
      <c r="C5" s="61" t="s">
        <v>71</v>
      </c>
      <c r="D5" s="65">
        <f>D17+I17+N17</f>
        <v>0</v>
      </c>
      <c r="E5" s="65">
        <f>E17+J17+O17</f>
        <v>0</v>
      </c>
      <c r="F5" s="65">
        <f>F17+K17+P17</f>
        <v>0</v>
      </c>
      <c r="G5" s="65">
        <f>G17+L17+Q17</f>
        <v>0</v>
      </c>
      <c r="H5" s="66">
        <f>H17+M17+R17</f>
        <v>3</v>
      </c>
      <c r="I5" s="67">
        <f>ROUND((D5+E5)*100/(H5-G5),2)</f>
        <v>0</v>
      </c>
      <c r="J5" s="67">
        <f>ROUND(D5*100/(H5-G5),2)</f>
        <v>0</v>
      </c>
      <c r="K5" s="68">
        <f>D29+I29+N29</f>
        <v>0</v>
      </c>
      <c r="L5" s="68">
        <f>E29+J29+O29</f>
        <v>0</v>
      </c>
      <c r="M5" s="68">
        <f>F29+K29+P29</f>
        <v>0</v>
      </c>
      <c r="N5" s="68">
        <f>G29+L29+Q29</f>
        <v>0</v>
      </c>
      <c r="O5" s="69">
        <f>H29+M29+R29</f>
        <v>3</v>
      </c>
      <c r="P5" s="70">
        <f>ROUND((K5+L5)*100/(O5-N5),2)</f>
        <v>0</v>
      </c>
      <c r="Q5" s="70">
        <f>ROUND(K5*100/(O5-N5),2)</f>
        <v>0</v>
      </c>
    </row>
    <row r="6" spans="1:24">
      <c r="A6" s="64"/>
      <c r="B6" s="97"/>
      <c r="C6" s="61" t="s">
        <v>72</v>
      </c>
      <c r="D6" s="65">
        <f>D18+I18+N18</f>
        <v>0</v>
      </c>
      <c r="E6" s="65">
        <f>E18+J18+O18</f>
        <v>0</v>
      </c>
      <c r="F6" s="65">
        <f>F18+K18+P18</f>
        <v>0</v>
      </c>
      <c r="G6" s="65">
        <f>G18+L18+Q18</f>
        <v>0</v>
      </c>
      <c r="H6" s="66">
        <f>H18+M18+R18</f>
        <v>3</v>
      </c>
      <c r="I6" s="67">
        <f>ROUND((D6+E6)*100/(H6-G6),2)</f>
        <v>0</v>
      </c>
      <c r="J6" s="67">
        <f>ROUND(D6*100/(H6-G6),2)</f>
        <v>0</v>
      </c>
      <c r="K6" s="68">
        <f>D30+I30+N30</f>
        <v>0</v>
      </c>
      <c r="L6" s="68">
        <f>E30+J30+O30</f>
        <v>0</v>
      </c>
      <c r="M6" s="68">
        <f>F30+K30+P30</f>
        <v>0</v>
      </c>
      <c r="N6" s="68">
        <f>G30+L30+Q30</f>
        <v>0</v>
      </c>
      <c r="O6" s="69">
        <f>H30+M30+R30</f>
        <v>3</v>
      </c>
      <c r="P6" s="70">
        <f>ROUND((K6+L6)*100/(O6-N6),2)</f>
        <v>0</v>
      </c>
      <c r="Q6" s="70">
        <f>ROUND(K6*100/(O6-N6),2)</f>
        <v>0</v>
      </c>
    </row>
    <row r="7" spans="1:24">
      <c r="A7" s="64"/>
      <c r="B7" s="97"/>
      <c r="C7" s="61" t="s">
        <v>73</v>
      </c>
      <c r="D7" s="65">
        <f>D19+I19+N19</f>
        <v>0</v>
      </c>
      <c r="E7" s="65">
        <f>E19+J19+O19</f>
        <v>0</v>
      </c>
      <c r="F7" s="65">
        <f>F19+K19+P19</f>
        <v>0</v>
      </c>
      <c r="G7" s="65">
        <f>G19+L19+Q19</f>
        <v>0</v>
      </c>
      <c r="H7" s="66">
        <f>H19+M19+R19</f>
        <v>3</v>
      </c>
      <c r="I7" s="67">
        <f>ROUND((D7+E7)*100/(H7-G7),2)</f>
        <v>0</v>
      </c>
      <c r="J7" s="67">
        <f>ROUND(D7*100/(H7-G7),2)</f>
        <v>0</v>
      </c>
      <c r="K7" s="68">
        <f>D31+I31+N31</f>
        <v>0</v>
      </c>
      <c r="L7" s="68">
        <f>E31+J31+O31</f>
        <v>0</v>
      </c>
      <c r="M7" s="68">
        <f>F31+K31+P31</f>
        <v>0</v>
      </c>
      <c r="N7" s="68">
        <f>G31+L31+Q31</f>
        <v>0</v>
      </c>
      <c r="O7" s="69">
        <f>H31+M31+R31</f>
        <v>3</v>
      </c>
      <c r="P7" s="70">
        <f>ROUND((K7+L7)*100/(O7-N7),2)</f>
        <v>0</v>
      </c>
      <c r="Q7" s="70">
        <f>ROUND(K7*100/(O7-N7),2)</f>
        <v>0</v>
      </c>
    </row>
    <row r="8" spans="1:24">
      <c r="A8" s="64"/>
      <c r="B8" s="97"/>
      <c r="C8" s="61" t="s">
        <v>74</v>
      </c>
      <c r="D8" s="65">
        <f>D20+I20+N20</f>
        <v>0</v>
      </c>
      <c r="E8" s="65">
        <f>E20+J20+O20</f>
        <v>0</v>
      </c>
      <c r="F8" s="65">
        <f>F20+K20+P20</f>
        <v>0</v>
      </c>
      <c r="G8" s="65">
        <f>G20+L20+Q20</f>
        <v>0</v>
      </c>
      <c r="H8" s="66">
        <f>H20+M20+R20</f>
        <v>3</v>
      </c>
      <c r="I8" s="67">
        <f>ROUND((D8+E8)*100/(H8-G8),2)</f>
        <v>0</v>
      </c>
      <c r="J8" s="67">
        <f>ROUND(D8*100/(H8-G8),2)</f>
        <v>0</v>
      </c>
      <c r="K8" s="68">
        <f>D32+I32+N32</f>
        <v>0</v>
      </c>
      <c r="L8" s="68">
        <f>E32+J32+O32</f>
        <v>0</v>
      </c>
      <c r="M8" s="68">
        <f>F32+K32+P32</f>
        <v>0</v>
      </c>
      <c r="N8" s="68">
        <f>G32+L32+Q32</f>
        <v>0</v>
      </c>
      <c r="O8" s="69">
        <f>H32+M32+R32</f>
        <v>3</v>
      </c>
      <c r="P8" s="70">
        <f>ROUND((K8+L8)*100/(O8-N8),2)</f>
        <v>0</v>
      </c>
      <c r="Q8" s="70">
        <f>ROUND(K8*100/(O8-N8),2)</f>
        <v>0</v>
      </c>
    </row>
    <row r="9" spans="1:24">
      <c r="A9" s="64"/>
      <c r="B9" s="97"/>
      <c r="C9" s="61" t="s">
        <v>75</v>
      </c>
      <c r="D9" s="65">
        <f>D21+I21+N21</f>
        <v>0</v>
      </c>
      <c r="E9" s="65">
        <f>E21+J21+O21</f>
        <v>0</v>
      </c>
      <c r="F9" s="65">
        <f>F21+K21+P21</f>
        <v>0</v>
      </c>
      <c r="G9" s="65">
        <f>G21+L21+Q21</f>
        <v>0</v>
      </c>
      <c r="H9" s="66">
        <f>H21+M21+R21</f>
        <v>3</v>
      </c>
      <c r="I9" s="67">
        <f>ROUND((D9+E9)*100/(H9-G9),2)</f>
        <v>0</v>
      </c>
      <c r="J9" s="67">
        <f>ROUND(D9*100/(H9-G9),2)</f>
        <v>0</v>
      </c>
      <c r="K9" s="68">
        <f>D33+I33+N33</f>
        <v>0</v>
      </c>
      <c r="L9" s="68">
        <f>E33+J33+O33</f>
        <v>0</v>
      </c>
      <c r="M9" s="68">
        <f>F33+K33+P33</f>
        <v>0</v>
      </c>
      <c r="N9" s="68">
        <f>G33+L33+Q33</f>
        <v>0</v>
      </c>
      <c r="O9" s="69">
        <f>H33+M33+R33</f>
        <v>3</v>
      </c>
      <c r="P9" s="70">
        <f>ROUND((K9+L9)*100/(O9-N9),2)</f>
        <v>0</v>
      </c>
      <c r="Q9" s="70">
        <f>ROUND(K9*100/(O9-N9),2)</f>
        <v>0</v>
      </c>
    </row>
    <row r="10" spans="1:24">
      <c r="A10" s="64"/>
      <c r="B10" s="97"/>
      <c r="C10" s="61" t="s">
        <v>76</v>
      </c>
      <c r="D10" s="65">
        <f>D22+I22+N22</f>
        <v>0</v>
      </c>
      <c r="E10" s="65">
        <f>E22+J22+O22</f>
        <v>0</v>
      </c>
      <c r="F10" s="65">
        <f>F22+K22+P22</f>
        <v>0</v>
      </c>
      <c r="G10" s="65">
        <f>G22+L22+Q22</f>
        <v>0</v>
      </c>
      <c r="H10" s="66">
        <f>H22+M22+R22</f>
        <v>3</v>
      </c>
      <c r="I10" s="67">
        <f>ROUND((D10+E10)*100/(H10-G10),2)</f>
        <v>0</v>
      </c>
      <c r="J10" s="67">
        <f>ROUND(D10*100/(H10-G10),2)</f>
        <v>0</v>
      </c>
      <c r="K10" s="68">
        <f>D34+I34+N34</f>
        <v>0</v>
      </c>
      <c r="L10" s="68">
        <f>E34+J34+O34</f>
        <v>0</v>
      </c>
      <c r="M10" s="68">
        <f>F34+K34+P34</f>
        <v>0</v>
      </c>
      <c r="N10" s="68">
        <f>G34+L34+Q34</f>
        <v>0</v>
      </c>
      <c r="O10" s="69">
        <f>H34+M34+R34</f>
        <v>3</v>
      </c>
      <c r="P10" s="70">
        <f>ROUND((K10+L10)*100/(O10-N10),2)</f>
        <v>0</v>
      </c>
      <c r="Q10" s="70">
        <f>ROUND(K10*100/(O10-N10),2)</f>
        <v>0</v>
      </c>
    </row>
    <row r="12" spans="1:24">
      <c r="A12" s="60" t="s">
        <v>69</v>
      </c>
      <c r="B12" s="98"/>
    </row>
    <row r="13" spans="1:24">
      <c r="A13" s="62" t="s">
        <v>53</v>
      </c>
      <c r="B13" s="62"/>
      <c r="C13" s="62"/>
      <c r="D13" s="62" t="s">
        <v>54</v>
      </c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 t="s">
        <v>55</v>
      </c>
      <c r="T13" s="62"/>
      <c r="U13" s="62"/>
      <c r="V13" s="62" t="s">
        <v>62</v>
      </c>
      <c r="W13" s="62"/>
      <c r="X13" s="62"/>
    </row>
    <row r="14" spans="1:24">
      <c r="A14" s="62"/>
      <c r="B14" s="62"/>
      <c r="C14" s="62"/>
      <c r="D14" s="62" t="s">
        <v>24</v>
      </c>
      <c r="E14" s="62"/>
      <c r="F14" s="62"/>
      <c r="G14" s="62"/>
      <c r="H14" s="62"/>
      <c r="I14" s="62" t="s">
        <v>25</v>
      </c>
      <c r="J14" s="62"/>
      <c r="K14" s="62"/>
      <c r="L14" s="62"/>
      <c r="M14" s="62"/>
      <c r="N14" s="62" t="s">
        <v>26</v>
      </c>
      <c r="O14" s="62"/>
      <c r="P14" s="62"/>
      <c r="Q14" s="62"/>
      <c r="R14" s="62"/>
      <c r="S14" s="62" t="s">
        <v>24</v>
      </c>
      <c r="T14" s="62" t="s">
        <v>25</v>
      </c>
      <c r="U14" s="62" t="s">
        <v>26</v>
      </c>
      <c r="V14" s="62" t="s">
        <v>24</v>
      </c>
      <c r="W14" s="62" t="s">
        <v>25</v>
      </c>
      <c r="X14" s="62" t="s">
        <v>26</v>
      </c>
    </row>
    <row r="15" spans="1:24">
      <c r="A15" s="62"/>
      <c r="B15" s="62"/>
      <c r="C15" s="62"/>
      <c r="D15" s="63" t="s">
        <v>18</v>
      </c>
      <c r="E15" s="63" t="s">
        <v>19</v>
      </c>
      <c r="F15" s="63" t="s">
        <v>20</v>
      </c>
      <c r="G15" s="63" t="s">
        <v>21</v>
      </c>
      <c r="H15" s="63" t="s">
        <v>22</v>
      </c>
      <c r="I15" s="63" t="s">
        <v>18</v>
      </c>
      <c r="J15" s="63" t="s">
        <v>19</v>
      </c>
      <c r="K15" s="63" t="s">
        <v>20</v>
      </c>
      <c r="L15" s="63" t="s">
        <v>21</v>
      </c>
      <c r="M15" s="63" t="s">
        <v>22</v>
      </c>
      <c r="N15" s="63" t="s">
        <v>18</v>
      </c>
      <c r="O15" s="63" t="s">
        <v>19</v>
      </c>
      <c r="P15" s="63" t="s">
        <v>20</v>
      </c>
      <c r="Q15" s="63" t="s">
        <v>21</v>
      </c>
      <c r="R15" s="63" t="s">
        <v>22</v>
      </c>
      <c r="S15" s="62"/>
      <c r="T15" s="62"/>
      <c r="U15" s="62"/>
      <c r="V15" s="62"/>
      <c r="W15" s="62"/>
      <c r="X15" s="62"/>
    </row>
    <row r="16" spans="1:24">
      <c r="A16" s="64" t="s">
        <v>23</v>
      </c>
      <c r="B16" s="97"/>
      <c r="C16" s="61" t="str">
        <f>C4</f>
        <v>EV1</v>
      </c>
      <c r="D16" s="72">
        <f>SUMIF(C40:C46,C16,D40:D46)</f>
        <v>0</v>
      </c>
      <c r="E16" s="72">
        <f>SUMIF(C40:C46,C16,E40:E46)</f>
        <v>0</v>
      </c>
      <c r="F16" s="72">
        <f>SUMIF(C40:C46,C16,F40:F46)</f>
        <v>0</v>
      </c>
      <c r="G16" s="72">
        <f>SUMIF(C40:C46,C16,G40:G46)</f>
        <v>0</v>
      </c>
      <c r="H16" s="73">
        <f>SUMIF(C40:C46,C16,H40:H46)</f>
        <v>1</v>
      </c>
      <c r="I16" s="74">
        <f>SUMIF(C40:C46,C16,I40:I46)</f>
        <v>0</v>
      </c>
      <c r="J16" s="74">
        <f>SUMIF(C40:C46,C16,J40:J46)</f>
        <v>0</v>
      </c>
      <c r="K16" s="74">
        <f>SUMIF(C40:C46,C16,K40:K46)</f>
        <v>0</v>
      </c>
      <c r="L16" s="74">
        <f>SUMIF(C40:C46,C16,L40:L46)</f>
        <v>0</v>
      </c>
      <c r="M16" s="75">
        <f>SUMIF(C40:C46,C16,M40:M46)</f>
        <v>1</v>
      </c>
      <c r="N16" s="76">
        <f>SUMIF(C40:C46,C16,N40:N46)</f>
        <v>0</v>
      </c>
      <c r="O16" s="76">
        <f>SUMIF(C40:C46,C16,O40:O46)</f>
        <v>0</v>
      </c>
      <c r="P16" s="76">
        <f>SUMIF(C40:C46,C16,P40:P46)</f>
        <v>0</v>
      </c>
      <c r="Q16" s="76">
        <f>SUMIF(C40:C46,C16,Q40:Q46)</f>
        <v>0</v>
      </c>
      <c r="R16" s="77">
        <f>SUMIF(C40:C46,C16,R40:R46)</f>
        <v>1</v>
      </c>
      <c r="S16" s="78">
        <f>ROUND((D16+E16)*100/(H16-G16),2)</f>
        <v>0</v>
      </c>
      <c r="T16" s="61">
        <f>ROUND((I16+J16)*100/(M16-L16),2)</f>
        <v>0</v>
      </c>
      <c r="U16" s="61">
        <f>ROUND((N16+O16)*100/(R16-Q16),2)</f>
        <v>0</v>
      </c>
      <c r="V16" s="78">
        <f>ROUND(D16*100/(H16-G16),2)</f>
        <v>0</v>
      </c>
      <c r="W16" s="61">
        <f>ROUND(I16*100/(M16-L16),2)</f>
        <v>0</v>
      </c>
      <c r="X16" s="61">
        <f>ROUND(N16*100/(R16-Q16),2)</f>
        <v>0</v>
      </c>
    </row>
    <row r="17" spans="1:24">
      <c r="A17" s="64"/>
      <c r="B17" s="97"/>
      <c r="C17" s="61" t="str">
        <f>C5</f>
        <v>EV2</v>
      </c>
      <c r="D17" s="72">
        <f>SUMIF(C40:C46,C17,D40:D46)</f>
        <v>0</v>
      </c>
      <c r="E17" s="72">
        <f>SUMIF(C40:C46,C17,E40:E46)</f>
        <v>0</v>
      </c>
      <c r="F17" s="72">
        <f>SUMIF(C40:C46,C17,F40:F46)</f>
        <v>0</v>
      </c>
      <c r="G17" s="72">
        <f>SUMIF(C40:C46,C17,G40:G46)</f>
        <v>0</v>
      </c>
      <c r="H17" s="73">
        <f>SUMIF(C40:C46,C17,H40:H46)</f>
        <v>1</v>
      </c>
      <c r="I17" s="74">
        <f>SUMIF(C40:C46,C17,I40:I46)</f>
        <v>0</v>
      </c>
      <c r="J17" s="74">
        <f>SUMIF(C40:C46,C17,J40:J46)</f>
        <v>0</v>
      </c>
      <c r="K17" s="74">
        <f>SUMIF(C40:C46,C17,K40:K46)</f>
        <v>0</v>
      </c>
      <c r="L17" s="74">
        <f>SUMIF(C40:C46,C17,L40:L46)</f>
        <v>0</v>
      </c>
      <c r="M17" s="75">
        <f>SUMIF(C40:C46,C17,M40:M46)</f>
        <v>1</v>
      </c>
      <c r="N17" s="76">
        <f>SUMIF(C40:C46,C17,N40:N46)</f>
        <v>0</v>
      </c>
      <c r="O17" s="76">
        <f>SUMIF(C40:C46,C17,O40:O46)</f>
        <v>0</v>
      </c>
      <c r="P17" s="76">
        <f>SUMIF(C40:C46,C17,P40:P46)</f>
        <v>0</v>
      </c>
      <c r="Q17" s="76">
        <f>SUMIF(C40:C46,C17,Q40:Q46)</f>
        <v>0</v>
      </c>
      <c r="R17" s="77">
        <f>SUMIF(C40:C46,C17,R40:R46)</f>
        <v>1</v>
      </c>
      <c r="S17" s="78">
        <f>ROUND((D17+E17)*100/(H17-G17),2)</f>
        <v>0</v>
      </c>
      <c r="T17" s="61">
        <f>ROUND((I17+J17)*100/(M17-L17),2)</f>
        <v>0</v>
      </c>
      <c r="U17" s="61">
        <f>ROUND((N17+O17)*100/(R17-Q17),2)</f>
        <v>0</v>
      </c>
      <c r="V17" s="78">
        <f>ROUND(D17*100/(H17-G17),2)</f>
        <v>0</v>
      </c>
      <c r="W17" s="61">
        <f>ROUND(I17*100/(M17-L17),2)</f>
        <v>0</v>
      </c>
      <c r="X17" s="61">
        <f>ROUND(N17*100/(R17-Q17),2)</f>
        <v>0</v>
      </c>
    </row>
    <row r="18" spans="1:24">
      <c r="A18" s="64"/>
      <c r="B18" s="97"/>
      <c r="C18" s="61" t="str">
        <f>C6</f>
        <v>EV3</v>
      </c>
      <c r="D18" s="72">
        <f>SUMIF(C40:C46,C18,D40:D46)</f>
        <v>0</v>
      </c>
      <c r="E18" s="72">
        <f>SUMIF(C40:C46,C18,E40:E46)</f>
        <v>0</v>
      </c>
      <c r="F18" s="72">
        <f>SUMIF(C40:C46,C18,F40:F46)</f>
        <v>0</v>
      </c>
      <c r="G18" s="72">
        <f>SUMIF(C40:C46,C18,G40:G46)</f>
        <v>0</v>
      </c>
      <c r="H18" s="73">
        <f>SUMIF(C40:C46,C18,H40:H46)</f>
        <v>1</v>
      </c>
      <c r="I18" s="74">
        <f>SUMIF(C40:C46,C18,I40:I46)</f>
        <v>0</v>
      </c>
      <c r="J18" s="74">
        <f>SUMIF(C40:C46,C18,J40:J46)</f>
        <v>0</v>
      </c>
      <c r="K18" s="74">
        <f>SUMIF(C40:C46,C18,K40:K46)</f>
        <v>0</v>
      </c>
      <c r="L18" s="74">
        <f>SUMIF(C40:C46,C18,L40:L46)</f>
        <v>0</v>
      </c>
      <c r="M18" s="75">
        <f>SUMIF(C40:C46,C18,M40:M46)</f>
        <v>1</v>
      </c>
      <c r="N18" s="76">
        <f>SUMIF(C40:C46,C18,N40:N46)</f>
        <v>0</v>
      </c>
      <c r="O18" s="76">
        <f>SUMIF(C40:C46,C18,O40:O46)</f>
        <v>0</v>
      </c>
      <c r="P18" s="76">
        <f>SUMIF(C40:C46,C18,P40:P46)</f>
        <v>0</v>
      </c>
      <c r="Q18" s="76">
        <f>SUMIF(C40:C46,C18,Q40:Q46)</f>
        <v>0</v>
      </c>
      <c r="R18" s="77">
        <f>SUMIF(C40:C46,C18,R40:R46)</f>
        <v>1</v>
      </c>
      <c r="S18" s="78">
        <f>ROUND((D18+E18)*100/(H18-G18),2)</f>
        <v>0</v>
      </c>
      <c r="T18" s="61">
        <f>ROUND((I18+J18)*100/(M18-L18),2)</f>
        <v>0</v>
      </c>
      <c r="U18" s="61">
        <f>ROUND((N18+O18)*100/(R18-Q18),2)</f>
        <v>0</v>
      </c>
      <c r="V18" s="78">
        <f>ROUND(D18*100/(H18-G18),2)</f>
        <v>0</v>
      </c>
      <c r="W18" s="61">
        <f>ROUND(I18*100/(M18-L18),2)</f>
        <v>0</v>
      </c>
      <c r="X18" s="61">
        <f>ROUND(N18*100/(R18-Q18),2)</f>
        <v>0</v>
      </c>
    </row>
    <row r="19" spans="1:24">
      <c r="A19" s="64"/>
      <c r="B19" s="97"/>
      <c r="C19" s="61" t="str">
        <f>C7</f>
        <v>EV4</v>
      </c>
      <c r="D19" s="72">
        <f>SUMIF(C40:C46,C19,D40:D46)</f>
        <v>0</v>
      </c>
      <c r="E19" s="72">
        <f>SUMIF(C40:C46,C19,E40:E46)</f>
        <v>0</v>
      </c>
      <c r="F19" s="72">
        <f>SUMIF(C40:C46,C19,F40:F46)</f>
        <v>0</v>
      </c>
      <c r="G19" s="72">
        <f>SUMIF(C40:C46,C19,G40:G46)</f>
        <v>0</v>
      </c>
      <c r="H19" s="73">
        <f>SUMIF(C40:C46,C19,H40:H46)</f>
        <v>1</v>
      </c>
      <c r="I19" s="74">
        <f>SUMIF(C40:C46,C19,I40:I46)</f>
        <v>0</v>
      </c>
      <c r="J19" s="74">
        <f>SUMIF(C40:C46,C19,J40:J46)</f>
        <v>0</v>
      </c>
      <c r="K19" s="74">
        <f>SUMIF(C40:C46,C19,K40:K46)</f>
        <v>0</v>
      </c>
      <c r="L19" s="74">
        <f>SUMIF(C40:C46,C19,L40:L46)</f>
        <v>0</v>
      </c>
      <c r="M19" s="75">
        <f>SUMIF(C40:C46,C19,M40:M46)</f>
        <v>1</v>
      </c>
      <c r="N19" s="76">
        <f>SUMIF(C40:C46,C19,N40:N46)</f>
        <v>0</v>
      </c>
      <c r="O19" s="76">
        <f>SUMIF(C40:C46,C19,O40:O46)</f>
        <v>0</v>
      </c>
      <c r="P19" s="76">
        <f>SUMIF(C40:C46,C19,P40:P46)</f>
        <v>0</v>
      </c>
      <c r="Q19" s="76">
        <f>SUMIF(C40:C46,C19,Q40:Q46)</f>
        <v>0</v>
      </c>
      <c r="R19" s="77">
        <f>SUMIF(C40:C46,C19,R40:R46)</f>
        <v>1</v>
      </c>
      <c r="S19" s="78">
        <f>ROUND((D19+E19)*100/(H19-G19),2)</f>
        <v>0</v>
      </c>
      <c r="T19" s="61">
        <f>ROUND((I19+J19)*100/(M19-L19),2)</f>
        <v>0</v>
      </c>
      <c r="U19" s="61">
        <f>ROUND((N19+O19)*100/(R19-Q19),2)</f>
        <v>0</v>
      </c>
      <c r="V19" s="78">
        <f>ROUND(D19*100/(H19-G19),2)</f>
        <v>0</v>
      </c>
      <c r="W19" s="61">
        <f>ROUND(I19*100/(M19-L19),2)</f>
        <v>0</v>
      </c>
      <c r="X19" s="61">
        <f>ROUND(N19*100/(R19-Q19),2)</f>
        <v>0</v>
      </c>
    </row>
    <row r="20" spans="1:24">
      <c r="A20" s="64"/>
      <c r="B20" s="97"/>
      <c r="C20" s="61" t="str">
        <f>C8</f>
        <v>EV5</v>
      </c>
      <c r="D20" s="72">
        <f>SUMIF(C40:C46,C20,D40:D46)</f>
        <v>0</v>
      </c>
      <c r="E20" s="72">
        <f>SUMIF(C40:C46,C20,E40:E46)</f>
        <v>0</v>
      </c>
      <c r="F20" s="72">
        <f>SUMIF(C40:C46,C20,F40:F46)</f>
        <v>0</v>
      </c>
      <c r="G20" s="72">
        <f>SUMIF(C40:C46,C20,G40:G46)</f>
        <v>0</v>
      </c>
      <c r="H20" s="73">
        <f>SUMIF(C40:C46,C20,H40:H46)</f>
        <v>1</v>
      </c>
      <c r="I20" s="74">
        <f>SUMIF(C40:C46,C20,I40:I46)</f>
        <v>0</v>
      </c>
      <c r="J20" s="74">
        <f>SUMIF(C40:C46,C20,J40:J46)</f>
        <v>0</v>
      </c>
      <c r="K20" s="74">
        <f>SUMIF(C40:C46,C20,K40:K46)</f>
        <v>0</v>
      </c>
      <c r="L20" s="74">
        <f>SUMIF(C40:C46,C20,L40:L46)</f>
        <v>0</v>
      </c>
      <c r="M20" s="75">
        <f>SUMIF(C40:C46,C20,M40:M46)</f>
        <v>1</v>
      </c>
      <c r="N20" s="76">
        <f>SUMIF(C40:C46,C20,N40:N46)</f>
        <v>0</v>
      </c>
      <c r="O20" s="76">
        <f>SUMIF(C40:C46,C20,O40:O46)</f>
        <v>0</v>
      </c>
      <c r="P20" s="76">
        <f>SUMIF(C40:C46,C20,P40:P46)</f>
        <v>0</v>
      </c>
      <c r="Q20" s="76">
        <f>SUMIF(C40:C46,C20,Q40:Q46)</f>
        <v>0</v>
      </c>
      <c r="R20" s="77">
        <f>SUMIF(C40:C46,C20,R40:R46)</f>
        <v>1</v>
      </c>
      <c r="S20" s="78">
        <f>ROUND((D20+E20)*100/(H20-G20),2)</f>
        <v>0</v>
      </c>
      <c r="T20" s="61">
        <f>ROUND((I20+J20)*100/(M20-L20),2)</f>
        <v>0</v>
      </c>
      <c r="U20" s="61">
        <f>ROUND((N20+O20)*100/(R20-Q20),2)</f>
        <v>0</v>
      </c>
      <c r="V20" s="78">
        <f>ROUND(D20*100/(H20-G20),2)</f>
        <v>0</v>
      </c>
      <c r="W20" s="61">
        <f>ROUND(I20*100/(M20-L20),2)</f>
        <v>0</v>
      </c>
      <c r="X20" s="61">
        <f>ROUND(N20*100/(R20-Q20),2)</f>
        <v>0</v>
      </c>
    </row>
    <row r="21" spans="1:24">
      <c r="A21" s="64"/>
      <c r="B21" s="97"/>
      <c r="C21" s="61" t="str">
        <f>C9</f>
        <v>EV6</v>
      </c>
      <c r="D21" s="72">
        <f>SUMIF(C40:C46,C21,D40:D46)</f>
        <v>0</v>
      </c>
      <c r="E21" s="72">
        <f>SUMIF(C40:C46,C21,E40:E46)</f>
        <v>0</v>
      </c>
      <c r="F21" s="72">
        <f>SUMIF(C40:C46,C21,F40:F46)</f>
        <v>0</v>
      </c>
      <c r="G21" s="72">
        <f>SUMIF(C40:C46,C21,G40:G46)</f>
        <v>0</v>
      </c>
      <c r="H21" s="73">
        <f>SUMIF(C40:C46,C21,H40:H46)</f>
        <v>1</v>
      </c>
      <c r="I21" s="74">
        <f>SUMIF(C40:C46,C21,I40:I46)</f>
        <v>0</v>
      </c>
      <c r="J21" s="74">
        <f>SUMIF(C40:C46,C21,J40:J46)</f>
        <v>0</v>
      </c>
      <c r="K21" s="74">
        <f>SUMIF(C40:C46,C21,K40:K46)</f>
        <v>0</v>
      </c>
      <c r="L21" s="74">
        <f>SUMIF(C40:C46,C21,L40:L46)</f>
        <v>0</v>
      </c>
      <c r="M21" s="75">
        <f>SUMIF(C40:C46,C21,M40:M46)</f>
        <v>1</v>
      </c>
      <c r="N21" s="76">
        <f>SUMIF(C40:C46,C21,N40:N46)</f>
        <v>0</v>
      </c>
      <c r="O21" s="76">
        <f>SUMIF(C40:C46,C21,O40:O46)</f>
        <v>0</v>
      </c>
      <c r="P21" s="76">
        <f>SUMIF(C40:C46,C21,P40:P46)</f>
        <v>0</v>
      </c>
      <c r="Q21" s="76">
        <f>SUMIF(C40:C46,C21,Q40:Q46)</f>
        <v>0</v>
      </c>
      <c r="R21" s="77">
        <f>SUMIF(C40:C46,C21,R40:R46)</f>
        <v>1</v>
      </c>
      <c r="S21" s="78">
        <f>ROUND((D21+E21)*100/(H21-G21),2)</f>
        <v>0</v>
      </c>
      <c r="T21" s="61">
        <f>ROUND((I21+J21)*100/(M21-L21),2)</f>
        <v>0</v>
      </c>
      <c r="U21" s="61">
        <f>ROUND((N21+O21)*100/(R21-Q21),2)</f>
        <v>0</v>
      </c>
      <c r="V21" s="78">
        <f>ROUND(D21*100/(H21-G21),2)</f>
        <v>0</v>
      </c>
      <c r="W21" s="61">
        <f>ROUND(I21*100/(M21-L21),2)</f>
        <v>0</v>
      </c>
      <c r="X21" s="61">
        <f>ROUND(N21*100/(R21-Q21),2)</f>
        <v>0</v>
      </c>
    </row>
    <row r="22" spans="1:24">
      <c r="A22" s="64"/>
      <c r="B22" s="97"/>
      <c r="C22" s="61" t="str">
        <f>C10</f>
        <v>EV7</v>
      </c>
      <c r="D22" s="72">
        <f>SUMIF(C40:C46,C22,D40:D46)</f>
        <v>0</v>
      </c>
      <c r="E22" s="72">
        <f>SUMIF(C40:C46,C22,E40:E46)</f>
        <v>0</v>
      </c>
      <c r="F22" s="72">
        <f>SUMIF(C40:C46,C22,F40:F46)</f>
        <v>0</v>
      </c>
      <c r="G22" s="72">
        <f>SUMIF(C40:C46,C22,G40:G46)</f>
        <v>0</v>
      </c>
      <c r="H22" s="73">
        <f>SUMIF(C40:C46,C22,H40:H46)</f>
        <v>1</v>
      </c>
      <c r="I22" s="74">
        <f>SUMIF(C40:C46,C22,I40:I46)</f>
        <v>0</v>
      </c>
      <c r="J22" s="74">
        <f>SUMIF(C40:C46,C22,J40:J46)</f>
        <v>0</v>
      </c>
      <c r="K22" s="74">
        <f>SUMIF(C40:C46,C22,K40:K46)</f>
        <v>0</v>
      </c>
      <c r="L22" s="74">
        <f>SUMIF(C40:C46,C22,L40:L46)</f>
        <v>0</v>
      </c>
      <c r="M22" s="75">
        <f>SUMIF(C40:C46,C22,M40:M46)</f>
        <v>1</v>
      </c>
      <c r="N22" s="76">
        <f>SUMIF(C40:C46,C22,N40:N46)</f>
        <v>0</v>
      </c>
      <c r="O22" s="76">
        <f>SUMIF(C40:C46,C22,O40:O46)</f>
        <v>0</v>
      </c>
      <c r="P22" s="76">
        <f>SUMIF(C40:C46,C22,P40:P46)</f>
        <v>0</v>
      </c>
      <c r="Q22" s="76">
        <f>SUMIF(C40:C46,C22,Q40:Q46)</f>
        <v>0</v>
      </c>
      <c r="R22" s="77">
        <f>SUMIF(C40:C46,C22,R40:R46)</f>
        <v>1</v>
      </c>
      <c r="S22" s="78">
        <f>ROUND((D22+E22)*100/(H22-G22),2)</f>
        <v>0</v>
      </c>
      <c r="T22" s="61">
        <f>ROUND((I22+J22)*100/(M22-L22),2)</f>
        <v>0</v>
      </c>
      <c r="U22" s="61">
        <f>ROUND((N22+O22)*100/(R22-Q22),2)</f>
        <v>0</v>
      </c>
      <c r="V22" s="78">
        <f>ROUND(D22*100/(H22-G22),2)</f>
        <v>0</v>
      </c>
      <c r="W22" s="61">
        <f>ROUND(I22*100/(M22-L22),2)</f>
        <v>0</v>
      </c>
      <c r="X22" s="61">
        <f>ROUND(N22*100/(R22-Q22),2)</f>
        <v>0</v>
      </c>
    </row>
    <row r="23" spans="1:24">
      <c r="A23" s="79" t="s">
        <v>56</v>
      </c>
      <c r="B23" s="79"/>
      <c r="C23" s="79"/>
      <c r="D23" s="80">
        <f>SUM(D16:D22)</f>
        <v>0</v>
      </c>
      <c r="E23" s="80">
        <f>SUM(E16:E22)</f>
        <v>0</v>
      </c>
      <c r="F23" s="80">
        <f>SUM(F16:F22)</f>
        <v>0</v>
      </c>
      <c r="G23" s="80">
        <f>SUM(G16:G22)</f>
        <v>0</v>
      </c>
      <c r="H23" s="80">
        <f>SUM(H16:H22)</f>
        <v>7</v>
      </c>
      <c r="I23" s="80">
        <f>SUM(I16:I22)</f>
        <v>0</v>
      </c>
      <c r="J23" s="80">
        <f>SUM(J16:J22)</f>
        <v>0</v>
      </c>
      <c r="K23" s="80">
        <f>SUM(K16:K22)</f>
        <v>0</v>
      </c>
      <c r="L23" s="80">
        <f>SUM(L16:L22)</f>
        <v>0</v>
      </c>
      <c r="M23" s="80">
        <f>SUM(M16:M22)</f>
        <v>7</v>
      </c>
      <c r="N23" s="80">
        <f>SUM(N16:N22)</f>
        <v>0</v>
      </c>
      <c r="O23" s="80">
        <f>SUM(O16:O22)</f>
        <v>0</v>
      </c>
      <c r="P23" s="80">
        <f>SUM(P16:P22)</f>
        <v>0</v>
      </c>
      <c r="Q23" s="80">
        <f>SUM(Q16:Q22)</f>
        <v>0</v>
      </c>
      <c r="R23" s="80">
        <f>SUM(R16:R22)</f>
        <v>7</v>
      </c>
      <c r="S23" s="80">
        <f>ROUND(AVERAGE(S16:S22),2)</f>
        <v>0</v>
      </c>
      <c r="T23" s="80">
        <f>ROUND(AVERAGE(T16:T22),2)</f>
        <v>0</v>
      </c>
      <c r="U23" s="80">
        <f>ROUND(AVERAGE(U16:U22),2)</f>
        <v>0</v>
      </c>
      <c r="V23" s="80">
        <f>ROUND(AVERAGE(V16:V22),2)</f>
        <v>0</v>
      </c>
      <c r="W23" s="80">
        <f>ROUND(AVERAGE(W16:W22),2)</f>
        <v>0</v>
      </c>
      <c r="X23" s="80">
        <f>ROUND(AVERAGE(X16:X22),2)</f>
        <v>0</v>
      </c>
    </row>
    <row r="25" spans="1:24">
      <c r="A25" s="62" t="s">
        <v>32</v>
      </c>
      <c r="B25" s="62"/>
      <c r="C25" s="62"/>
      <c r="D25" s="62" t="s">
        <v>54</v>
      </c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 t="s">
        <v>55</v>
      </c>
      <c r="T25" s="62"/>
      <c r="U25" s="62"/>
      <c r="V25" s="62" t="s">
        <v>62</v>
      </c>
      <c r="W25" s="62"/>
      <c r="X25" s="62"/>
    </row>
    <row r="26" spans="1:24">
      <c r="A26" s="62"/>
      <c r="B26" s="62"/>
      <c r="C26" s="62"/>
      <c r="D26" s="62" t="s">
        <v>24</v>
      </c>
      <c r="E26" s="62"/>
      <c r="F26" s="62"/>
      <c r="G26" s="62"/>
      <c r="H26" s="62"/>
      <c r="I26" s="62" t="s">
        <v>25</v>
      </c>
      <c r="J26" s="62"/>
      <c r="K26" s="62"/>
      <c r="L26" s="62"/>
      <c r="M26" s="62"/>
      <c r="N26" s="62" t="s">
        <v>26</v>
      </c>
      <c r="O26" s="62"/>
      <c r="P26" s="62"/>
      <c r="Q26" s="62"/>
      <c r="R26" s="62"/>
      <c r="S26" s="62" t="s">
        <v>24</v>
      </c>
      <c r="T26" s="62" t="s">
        <v>25</v>
      </c>
      <c r="U26" s="62" t="s">
        <v>26</v>
      </c>
      <c r="V26" s="62" t="s">
        <v>24</v>
      </c>
      <c r="W26" s="62" t="s">
        <v>25</v>
      </c>
      <c r="X26" s="62" t="s">
        <v>26</v>
      </c>
    </row>
    <row r="27" spans="1:24">
      <c r="A27" s="62"/>
      <c r="B27" s="62"/>
      <c r="C27" s="62"/>
      <c r="D27" s="63" t="s">
        <v>18</v>
      </c>
      <c r="E27" s="63" t="s">
        <v>19</v>
      </c>
      <c r="F27" s="63" t="s">
        <v>20</v>
      </c>
      <c r="G27" s="63" t="s">
        <v>21</v>
      </c>
      <c r="H27" s="63" t="s">
        <v>22</v>
      </c>
      <c r="I27" s="63" t="s">
        <v>18</v>
      </c>
      <c r="J27" s="63" t="s">
        <v>19</v>
      </c>
      <c r="K27" s="63" t="s">
        <v>20</v>
      </c>
      <c r="L27" s="63" t="s">
        <v>21</v>
      </c>
      <c r="M27" s="63" t="s">
        <v>22</v>
      </c>
      <c r="N27" s="63" t="s">
        <v>18</v>
      </c>
      <c r="O27" s="63" t="s">
        <v>19</v>
      </c>
      <c r="P27" s="63" t="s">
        <v>20</v>
      </c>
      <c r="Q27" s="63" t="s">
        <v>21</v>
      </c>
      <c r="R27" s="63" t="s">
        <v>22</v>
      </c>
      <c r="S27" s="62"/>
      <c r="T27" s="62"/>
      <c r="U27" s="62"/>
      <c r="V27" s="62"/>
      <c r="W27" s="62"/>
      <c r="X27" s="62"/>
    </row>
    <row r="28" spans="1:24">
      <c r="A28" s="64" t="s">
        <v>23</v>
      </c>
      <c r="B28" s="97"/>
      <c r="C28" s="61" t="str">
        <f>C4</f>
        <v>EV1</v>
      </c>
      <c r="D28" s="72">
        <f>SUMIF(C51:C57,C28,D51:D57)</f>
        <v>0</v>
      </c>
      <c r="E28" s="72">
        <f>SUMIF(C51:C57,C28,E51:E57)</f>
        <v>0</v>
      </c>
      <c r="F28" s="72">
        <f>SUMIF(C51:C57,C28,F51:F57)</f>
        <v>0</v>
      </c>
      <c r="G28" s="72">
        <f>SUMIF(C51:C57,C28,G51:G57)</f>
        <v>0</v>
      </c>
      <c r="H28" s="73">
        <f>SUMIF(C51:C57,C28,H51:H57)</f>
        <v>1</v>
      </c>
      <c r="I28" s="74">
        <f>SUMIF(C51:C57,C28,I51:I57)</f>
        <v>0</v>
      </c>
      <c r="J28" s="74">
        <f>SUMIF(C51:C57,C28,J51:J57)</f>
        <v>0</v>
      </c>
      <c r="K28" s="74">
        <f>SUMIF(C51:C57,C28,K51:K57)</f>
        <v>0</v>
      </c>
      <c r="L28" s="74">
        <f>SUMIF(C51:C57,C28,L51:L57)</f>
        <v>0</v>
      </c>
      <c r="M28" s="75">
        <f>SUMIF(C51:C57,C28,M51:M57)</f>
        <v>1</v>
      </c>
      <c r="N28" s="76">
        <f>SUMIF(C51:C57,C28,N51:N57)</f>
        <v>0</v>
      </c>
      <c r="O28" s="76">
        <f>SUMIF(C51:C57,C28,O51:O57)</f>
        <v>0</v>
      </c>
      <c r="P28" s="76">
        <f>SUMIF(C51:C57,C28,P51:P57)</f>
        <v>0</v>
      </c>
      <c r="Q28" s="76">
        <f>SUMIF(C51:C57,C28,Q51:Q57)</f>
        <v>0</v>
      </c>
      <c r="R28" s="77">
        <f>SUMIF(C51:C57,C28,R51:R57)</f>
        <v>1</v>
      </c>
      <c r="S28" s="78">
        <f>ROUND((D28+E28)*100/(H28-G28),2)</f>
        <v>0</v>
      </c>
      <c r="T28" s="61">
        <f>ROUND((I28+J28)*100/(M28-L28),2)</f>
        <v>0</v>
      </c>
      <c r="U28" s="61">
        <f>ROUND((N28+O28)*100/(R28-Q28),2)</f>
        <v>0</v>
      </c>
      <c r="V28" s="78">
        <f>ROUND(D28*100/(H28-G28),2)</f>
        <v>0</v>
      </c>
      <c r="W28" s="61">
        <f>ROUND(I28*100/(M28-L28),2)</f>
        <v>0</v>
      </c>
      <c r="X28" s="61">
        <f>ROUND(N28*100/(R28-Q28),2)</f>
        <v>0</v>
      </c>
    </row>
    <row r="29" spans="1:24">
      <c r="A29" s="64"/>
      <c r="B29" s="97"/>
      <c r="C29" s="61" t="str">
        <f>C5</f>
        <v>EV2</v>
      </c>
      <c r="D29" s="72">
        <f>SUMIF(C51:C57,C29,D51:D57)</f>
        <v>0</v>
      </c>
      <c r="E29" s="72">
        <f>SUMIF(C51:C57,C29,E51:E57)</f>
        <v>0</v>
      </c>
      <c r="F29" s="72">
        <f>SUMIF(C51:C57,C29,F51:F57)</f>
        <v>0</v>
      </c>
      <c r="G29" s="72">
        <f>SUMIF(C51:C57,C29,G51:G57)</f>
        <v>0</v>
      </c>
      <c r="H29" s="73">
        <f>SUMIF(C51:C57,C29,H51:H57)</f>
        <v>1</v>
      </c>
      <c r="I29" s="74">
        <f>SUMIF(C51:C57,C29,I51:I57)</f>
        <v>0</v>
      </c>
      <c r="J29" s="74">
        <f>SUMIF(C51:C57,C29,J51:J57)</f>
        <v>0</v>
      </c>
      <c r="K29" s="74">
        <f>SUMIF(C51:C57,C29,K51:K57)</f>
        <v>0</v>
      </c>
      <c r="L29" s="74">
        <f>SUMIF(C51:C57,C29,L51:L57)</f>
        <v>0</v>
      </c>
      <c r="M29" s="75">
        <f>SUMIF(C51:C57,C29,M51:M57)</f>
        <v>1</v>
      </c>
      <c r="N29" s="76">
        <f>SUMIF(C51:C57,C29,N51:N57)</f>
        <v>0</v>
      </c>
      <c r="O29" s="76">
        <f>SUMIF(C51:C57,C29,O51:O57)</f>
        <v>0</v>
      </c>
      <c r="P29" s="76">
        <f>SUMIF(C51:C57,C29,P51:P57)</f>
        <v>0</v>
      </c>
      <c r="Q29" s="76">
        <f>SUMIF(C51:C57,C29,Q51:Q57)</f>
        <v>0</v>
      </c>
      <c r="R29" s="77">
        <f>SUMIF(C51:C57,C29,R51:R57)</f>
        <v>1</v>
      </c>
      <c r="S29" s="78">
        <f>ROUND((D29+E29)*100/(H29-G29),2)</f>
        <v>0</v>
      </c>
      <c r="T29" s="61">
        <f>ROUND((I29+J29)*100/(M29-L29),2)</f>
        <v>0</v>
      </c>
      <c r="U29" s="61">
        <f>ROUND((N29+O29)*100/(R29-Q29),2)</f>
        <v>0</v>
      </c>
      <c r="V29" s="78">
        <f>ROUND(D29*100/(H29-G29),2)</f>
        <v>0</v>
      </c>
      <c r="W29" s="61">
        <f>ROUND(I29*100/(M29-L29),2)</f>
        <v>0</v>
      </c>
      <c r="X29" s="61">
        <f>ROUND(N29*100/(R29-Q29),2)</f>
        <v>0</v>
      </c>
    </row>
    <row r="30" spans="1:24">
      <c r="A30" s="64"/>
      <c r="B30" s="97"/>
      <c r="C30" s="61" t="str">
        <f>C6</f>
        <v>EV3</v>
      </c>
      <c r="D30" s="72">
        <f>SUMIF(C51:C57,C30,D51:D57)</f>
        <v>0</v>
      </c>
      <c r="E30" s="72">
        <f>SUMIF(C51:C57,C30,E51:E57)</f>
        <v>0</v>
      </c>
      <c r="F30" s="72">
        <f>SUMIF(C51:C57,C30,F51:F57)</f>
        <v>0</v>
      </c>
      <c r="G30" s="72">
        <f>SUMIF(C51:C57,C30,G51:G57)</f>
        <v>0</v>
      </c>
      <c r="H30" s="73">
        <f>SUMIF(C51:C57,C30,H51:H57)</f>
        <v>1</v>
      </c>
      <c r="I30" s="74">
        <f>SUMIF(C51:C57,C30,I51:I57)</f>
        <v>0</v>
      </c>
      <c r="J30" s="74">
        <f>SUMIF(C51:C57,C30,J51:J57)</f>
        <v>0</v>
      </c>
      <c r="K30" s="74">
        <f>SUMIF(C51:C57,C30,K51:K57)</f>
        <v>0</v>
      </c>
      <c r="L30" s="74">
        <f>SUMIF(C51:C57,C30,L51:L57)</f>
        <v>0</v>
      </c>
      <c r="M30" s="75">
        <f>SUMIF(C51:C57,C30,M51:M57)</f>
        <v>1</v>
      </c>
      <c r="N30" s="76">
        <f>SUMIF(C51:C57,C30,N51:N57)</f>
        <v>0</v>
      </c>
      <c r="O30" s="76">
        <f>SUMIF(C51:C57,C30,O51:O57)</f>
        <v>0</v>
      </c>
      <c r="P30" s="76">
        <f>SUMIF(C51:C57,C30,P51:P57)</f>
        <v>0</v>
      </c>
      <c r="Q30" s="76">
        <f>SUMIF(C51:C57,C30,Q51:Q57)</f>
        <v>0</v>
      </c>
      <c r="R30" s="77">
        <f>SUMIF(C51:C57,C30,R51:R57)</f>
        <v>1</v>
      </c>
      <c r="S30" s="78">
        <f>ROUND((D30+E30)*100/(H30-G30),2)</f>
        <v>0</v>
      </c>
      <c r="T30" s="61">
        <f>ROUND((I30+J30)*100/(M30-L30),2)</f>
        <v>0</v>
      </c>
      <c r="U30" s="61">
        <f>ROUND((N30+O30)*100/(R30-Q30),2)</f>
        <v>0</v>
      </c>
      <c r="V30" s="78">
        <f>ROUND(D30*100/(H30-G30),2)</f>
        <v>0</v>
      </c>
      <c r="W30" s="61">
        <f>ROUND(I30*100/(M30-L30),2)</f>
        <v>0</v>
      </c>
      <c r="X30" s="61">
        <f>ROUND(N30*100/(R30-Q30),2)</f>
        <v>0</v>
      </c>
    </row>
    <row r="31" spans="1:24">
      <c r="A31" s="64"/>
      <c r="B31" s="97"/>
      <c r="C31" s="61" t="str">
        <f>C7</f>
        <v>EV4</v>
      </c>
      <c r="D31" s="72">
        <f>SUMIF(C51:C57,C31,D51:D57)</f>
        <v>0</v>
      </c>
      <c r="E31" s="72">
        <f>SUMIF(C51:C57,C31,E51:E57)</f>
        <v>0</v>
      </c>
      <c r="F31" s="72">
        <f>SUMIF(C51:C57,C31,F51:F57)</f>
        <v>0</v>
      </c>
      <c r="G31" s="72">
        <f>SUMIF(C51:C57,C31,G51:G57)</f>
        <v>0</v>
      </c>
      <c r="H31" s="73">
        <f>SUMIF(C51:C57,C31,H51:H57)</f>
        <v>1</v>
      </c>
      <c r="I31" s="74">
        <f>SUMIF(C51:C57,C31,I51:I57)</f>
        <v>0</v>
      </c>
      <c r="J31" s="74">
        <f>SUMIF(C51:C57,C31,J51:J57)</f>
        <v>0</v>
      </c>
      <c r="K31" s="74">
        <f>SUMIF(C51:C57,C31,K51:K57)</f>
        <v>0</v>
      </c>
      <c r="L31" s="74">
        <f>SUMIF(C51:C57,C31,L51:L57)</f>
        <v>0</v>
      </c>
      <c r="M31" s="75">
        <f>SUMIF(C51:C57,C31,M51:M57)</f>
        <v>1</v>
      </c>
      <c r="N31" s="76">
        <f>SUMIF(C51:C57,C31,N51:N57)</f>
        <v>0</v>
      </c>
      <c r="O31" s="76">
        <f>SUMIF(C51:C57,C31,O51:O57)</f>
        <v>0</v>
      </c>
      <c r="P31" s="76">
        <f>SUMIF(C51:C57,C31,P51:P57)</f>
        <v>0</v>
      </c>
      <c r="Q31" s="76">
        <f>SUMIF(C51:C57,C31,Q51:Q57)</f>
        <v>0</v>
      </c>
      <c r="R31" s="77">
        <f>SUMIF(C51:C57,C31,R51:R57)</f>
        <v>1</v>
      </c>
      <c r="S31" s="78">
        <f>ROUND((D31+E31)*100/(H31-G31),2)</f>
        <v>0</v>
      </c>
      <c r="T31" s="61">
        <f>ROUND((I31+J31)*100/(M31-L31),2)</f>
        <v>0</v>
      </c>
      <c r="U31" s="61">
        <f>ROUND((N31+O31)*100/(R31-Q31),2)</f>
        <v>0</v>
      </c>
      <c r="V31" s="78">
        <f>ROUND(D31*100/(H31-G31),2)</f>
        <v>0</v>
      </c>
      <c r="W31" s="61">
        <f>ROUND(I31*100/(M31-L31),2)</f>
        <v>0</v>
      </c>
      <c r="X31" s="61">
        <f>ROUND(N31*100/(R31-Q31),2)</f>
        <v>0</v>
      </c>
    </row>
    <row r="32" spans="1:24">
      <c r="A32" s="64"/>
      <c r="B32" s="97"/>
      <c r="C32" s="61" t="str">
        <f>C8</f>
        <v>EV5</v>
      </c>
      <c r="D32" s="72">
        <f>SUMIF(C51:C57,C32,D51:D57)</f>
        <v>0</v>
      </c>
      <c r="E32" s="72">
        <f>SUMIF(C51:C57,C32,E51:E57)</f>
        <v>0</v>
      </c>
      <c r="F32" s="72">
        <f>SUMIF(C51:C57,C32,F51:F57)</f>
        <v>0</v>
      </c>
      <c r="G32" s="72">
        <f>SUMIF(C51:C57,C32,G51:G57)</f>
        <v>0</v>
      </c>
      <c r="H32" s="73">
        <f>SUMIF(C51:C57,C32,H51:H57)</f>
        <v>1</v>
      </c>
      <c r="I32" s="74">
        <f>SUMIF(C51:C57,C32,I51:I57)</f>
        <v>0</v>
      </c>
      <c r="J32" s="74">
        <f>SUMIF(C51:C57,C32,J51:J57)</f>
        <v>0</v>
      </c>
      <c r="K32" s="74">
        <f>SUMIF(C51:C57,C32,K51:K57)</f>
        <v>0</v>
      </c>
      <c r="L32" s="74">
        <f>SUMIF(C51:C57,C32,L51:L57)</f>
        <v>0</v>
      </c>
      <c r="M32" s="75">
        <f>SUMIF(C51:C57,C32,M51:M57)</f>
        <v>1</v>
      </c>
      <c r="N32" s="76">
        <f>SUMIF(C51:C57,C32,N51:N57)</f>
        <v>0</v>
      </c>
      <c r="O32" s="76">
        <f>SUMIF(C51:C57,C32,O51:O57)</f>
        <v>0</v>
      </c>
      <c r="P32" s="76">
        <f>SUMIF(C51:C57,C32,P51:P57)</f>
        <v>0</v>
      </c>
      <c r="Q32" s="76">
        <f>SUMIF(C51:C57,C32,Q51:Q57)</f>
        <v>0</v>
      </c>
      <c r="R32" s="77">
        <f>SUMIF(C51:C57,C32,R51:R57)</f>
        <v>1</v>
      </c>
      <c r="S32" s="78">
        <f>ROUND((D32+E32)*100/(H32-G32),2)</f>
        <v>0</v>
      </c>
      <c r="T32" s="61">
        <f>ROUND((I32+J32)*100/(M32-L32),2)</f>
        <v>0</v>
      </c>
      <c r="U32" s="61">
        <f>ROUND((N32+O32)*100/(R32-Q32),2)</f>
        <v>0</v>
      </c>
      <c r="V32" s="78">
        <f>ROUND(D32*100/(H32-G32),2)</f>
        <v>0</v>
      </c>
      <c r="W32" s="61">
        <f>ROUND(I32*100/(M32-L32),2)</f>
        <v>0</v>
      </c>
      <c r="X32" s="61">
        <f>ROUND(N32*100/(R32-Q32),2)</f>
        <v>0</v>
      </c>
    </row>
    <row r="33" spans="1:24">
      <c r="A33" s="64"/>
      <c r="B33" s="97"/>
      <c r="C33" s="61" t="str">
        <f>C9</f>
        <v>EV6</v>
      </c>
      <c r="D33" s="72">
        <f>SUMIF(C51:C57,C33,D51:D57)</f>
        <v>0</v>
      </c>
      <c r="E33" s="72">
        <f>SUMIF(C51:C57,C33,E51:E57)</f>
        <v>0</v>
      </c>
      <c r="F33" s="72">
        <f>SUMIF(C51:C57,C33,F51:F57)</f>
        <v>0</v>
      </c>
      <c r="G33" s="72">
        <f>SUMIF(C51:C57,C33,G51:G57)</f>
        <v>0</v>
      </c>
      <c r="H33" s="73">
        <f>SUMIF(C51:C57,C33,H51:H57)</f>
        <v>1</v>
      </c>
      <c r="I33" s="74">
        <f>SUMIF(C51:C57,C33,I51:I57)</f>
        <v>0</v>
      </c>
      <c r="J33" s="74">
        <f>SUMIF(C51:C57,C33,J51:J57)</f>
        <v>0</v>
      </c>
      <c r="K33" s="74">
        <f>SUMIF(C51:C57,C33,K51:K57)</f>
        <v>0</v>
      </c>
      <c r="L33" s="74">
        <f>SUMIF(C51:C57,C33,L51:L57)</f>
        <v>0</v>
      </c>
      <c r="M33" s="75">
        <f>SUMIF(C51:C57,C33,M51:M57)</f>
        <v>1</v>
      </c>
      <c r="N33" s="76">
        <f>SUMIF(C51:C57,C33,N51:N57)</f>
        <v>0</v>
      </c>
      <c r="O33" s="76">
        <f>SUMIF(C51:C57,C33,O51:O57)</f>
        <v>0</v>
      </c>
      <c r="P33" s="76">
        <f>SUMIF(C51:C57,C33,P51:P57)</f>
        <v>0</v>
      </c>
      <c r="Q33" s="76">
        <f>SUMIF(C51:C57,C33,Q51:Q57)</f>
        <v>0</v>
      </c>
      <c r="R33" s="77">
        <f>SUMIF(C51:C57,C33,R51:R57)</f>
        <v>1</v>
      </c>
      <c r="S33" s="78">
        <f>ROUND((D33+E33)*100/(H33-G33),2)</f>
        <v>0</v>
      </c>
      <c r="T33" s="61">
        <f>ROUND((I33+J33)*100/(M33-L33),2)</f>
        <v>0</v>
      </c>
      <c r="U33" s="61">
        <f>ROUND((N33+O33)*100/(R33-Q33),2)</f>
        <v>0</v>
      </c>
      <c r="V33" s="78">
        <f>ROUND(D33*100/(H33-G33),2)</f>
        <v>0</v>
      </c>
      <c r="W33" s="61">
        <f>ROUND(I33*100/(M33-L33),2)</f>
        <v>0</v>
      </c>
      <c r="X33" s="61">
        <f>ROUND(N33*100/(R33-Q33),2)</f>
        <v>0</v>
      </c>
    </row>
    <row r="34" spans="1:24">
      <c r="A34" s="64"/>
      <c r="B34" s="97"/>
      <c r="C34" s="61" t="str">
        <f>C10</f>
        <v>EV7</v>
      </c>
      <c r="D34" s="72">
        <f>SUMIF(C51:C57,C34,D51:D57)</f>
        <v>0</v>
      </c>
      <c r="E34" s="72">
        <f>SUMIF(C51:C57,C34,E51:E57)</f>
        <v>0</v>
      </c>
      <c r="F34" s="72">
        <f>SUMIF(C51:C57,C34,F51:F57)</f>
        <v>0</v>
      </c>
      <c r="G34" s="72">
        <f>SUMIF(C51:C57,C34,G51:G57)</f>
        <v>0</v>
      </c>
      <c r="H34" s="73">
        <f>SUMIF(C51:C57,C34,H51:H57)</f>
        <v>1</v>
      </c>
      <c r="I34" s="74">
        <f>SUMIF(C51:C57,C34,I51:I57)</f>
        <v>0</v>
      </c>
      <c r="J34" s="74">
        <f>SUMIF(C51:C57,C34,J51:J57)</f>
        <v>0</v>
      </c>
      <c r="K34" s="74">
        <f>SUMIF(C51:C57,C34,K51:K57)</f>
        <v>0</v>
      </c>
      <c r="L34" s="74">
        <f>SUMIF(C51:C57,C34,L51:L57)</f>
        <v>0</v>
      </c>
      <c r="M34" s="75">
        <f>SUMIF(C51:C57,C34,M51:M57)</f>
        <v>1</v>
      </c>
      <c r="N34" s="76">
        <f>SUMIF(C51:C57,C34,N51:N57)</f>
        <v>0</v>
      </c>
      <c r="O34" s="76">
        <f>SUMIF(C51:C57,C34,O51:O57)</f>
        <v>0</v>
      </c>
      <c r="P34" s="76">
        <f>SUMIF(C51:C57,C34,P51:P57)</f>
        <v>0</v>
      </c>
      <c r="Q34" s="76">
        <f>SUMIF(C51:C57,C34,Q51:Q57)</f>
        <v>0</v>
      </c>
      <c r="R34" s="77">
        <f>SUMIF(C51:C57,C34,R51:R57)</f>
        <v>1</v>
      </c>
      <c r="S34" s="78">
        <f>ROUND((D34+E34)*100/(H34-G34),2)</f>
        <v>0</v>
      </c>
      <c r="T34" s="61">
        <f>ROUND((I34+J34)*100/(M34-L34),2)</f>
        <v>0</v>
      </c>
      <c r="U34" s="61">
        <f>ROUND((N34+O34)*100/(R34-Q34),2)</f>
        <v>0</v>
      </c>
      <c r="V34" s="78">
        <f>ROUND(D34*100/(H34-G34),2)</f>
        <v>0</v>
      </c>
      <c r="W34" s="61">
        <f>ROUND(I34*100/(M34-L34),2)</f>
        <v>0</v>
      </c>
      <c r="X34" s="61">
        <f>ROUND(N34*100/(R34-Q34),2)</f>
        <v>0</v>
      </c>
    </row>
    <row r="35" spans="1:24">
      <c r="A35" s="79" t="s">
        <v>56</v>
      </c>
      <c r="B35" s="79"/>
      <c r="C35" s="79"/>
      <c r="D35" s="80">
        <f>SUM(D28:D34)</f>
        <v>0</v>
      </c>
      <c r="E35" s="80">
        <f>SUM(E28:E34)</f>
        <v>0</v>
      </c>
      <c r="F35" s="80">
        <f>SUM(F28:F34)</f>
        <v>0</v>
      </c>
      <c r="G35" s="80">
        <f>SUM(G28:G34)</f>
        <v>0</v>
      </c>
      <c r="H35" s="80">
        <f>SUM(H28:H34)</f>
        <v>7</v>
      </c>
      <c r="I35" s="80">
        <f>SUM(I28:I34)</f>
        <v>0</v>
      </c>
      <c r="J35" s="80">
        <f>SUM(J28:J34)</f>
        <v>0</v>
      </c>
      <c r="K35" s="80">
        <f>SUM(K28:K34)</f>
        <v>0</v>
      </c>
      <c r="L35" s="80">
        <f>SUM(L28:L34)</f>
        <v>0</v>
      </c>
      <c r="M35" s="80">
        <f>SUM(M28:M34)</f>
        <v>7</v>
      </c>
      <c r="N35" s="80">
        <f>SUM(N28:N34)</f>
        <v>0</v>
      </c>
      <c r="O35" s="80">
        <f>SUM(O28:O34)</f>
        <v>0</v>
      </c>
      <c r="P35" s="80">
        <f>SUM(P28:P34)</f>
        <v>0</v>
      </c>
      <c r="Q35" s="80">
        <f>SUM(Q28:Q34)</f>
        <v>0</v>
      </c>
      <c r="R35" s="80">
        <f>SUM(R28:R34)</f>
        <v>7</v>
      </c>
      <c r="S35" s="80">
        <f>ROUND(AVERAGE(S28:S34),2)</f>
        <v>0</v>
      </c>
      <c r="T35" s="80">
        <f>ROUND(AVERAGE(T28:T34),2)</f>
        <v>0</v>
      </c>
      <c r="U35" s="80">
        <f>ROUND(AVERAGE(U28:U34),2)</f>
        <v>0</v>
      </c>
      <c r="V35" s="80">
        <f>ROUND(AVERAGE(V28:V34),2)</f>
        <v>0</v>
      </c>
      <c r="W35" s="80">
        <f>ROUND(AVERAGE(W28:W34),2)</f>
        <v>0</v>
      </c>
      <c r="X35" s="80">
        <f>ROUND(AVERAGE(X28:X34),2)</f>
        <v>0</v>
      </c>
    </row>
    <row r="37" spans="1:24">
      <c r="A37" s="60" t="s">
        <v>63</v>
      </c>
      <c r="B37" s="98"/>
    </row>
    <row r="38" spans="1:24">
      <c r="A38" s="99"/>
      <c r="B38" s="99"/>
      <c r="C38" s="95"/>
      <c r="D38" s="83" t="s">
        <v>24</v>
      </c>
      <c r="E38" s="83"/>
      <c r="F38" s="83"/>
      <c r="G38" s="83"/>
      <c r="H38" s="83"/>
      <c r="I38" s="83" t="s">
        <v>25</v>
      </c>
      <c r="J38" s="83"/>
      <c r="K38" s="83"/>
      <c r="L38" s="83"/>
      <c r="M38" s="83"/>
      <c r="N38" s="83" t="s">
        <v>26</v>
      </c>
      <c r="O38" s="83"/>
      <c r="P38" s="83"/>
      <c r="Q38" s="83"/>
      <c r="R38" s="83"/>
      <c r="S38" s="83" t="s">
        <v>59</v>
      </c>
      <c r="T38" s="83" t="s">
        <v>60</v>
      </c>
      <c r="U38" s="83" t="s">
        <v>27</v>
      </c>
      <c r="V38" s="83" t="s">
        <v>28</v>
      </c>
      <c r="W38" s="100"/>
      <c r="X38" s="101"/>
    </row>
    <row r="39" spans="1:24" ht="31.5">
      <c r="A39" s="84" t="s">
        <v>57</v>
      </c>
      <c r="B39" s="85" t="s">
        <v>58</v>
      </c>
      <c r="C39" s="85" t="s">
        <v>23</v>
      </c>
      <c r="D39" s="85" t="s">
        <v>18</v>
      </c>
      <c r="E39" s="85" t="s">
        <v>19</v>
      </c>
      <c r="F39" s="85" t="s">
        <v>20</v>
      </c>
      <c r="G39" s="85" t="s">
        <v>21</v>
      </c>
      <c r="H39" s="85" t="s">
        <v>22</v>
      </c>
      <c r="I39" s="85" t="s">
        <v>18</v>
      </c>
      <c r="J39" s="85" t="s">
        <v>19</v>
      </c>
      <c r="K39" s="85" t="s">
        <v>20</v>
      </c>
      <c r="L39" s="85" t="s">
        <v>21</v>
      </c>
      <c r="M39" s="85" t="s">
        <v>22</v>
      </c>
      <c r="N39" s="85" t="s">
        <v>18</v>
      </c>
      <c r="O39" s="85" t="s">
        <v>19</v>
      </c>
      <c r="P39" s="85" t="s">
        <v>20</v>
      </c>
      <c r="Q39" s="85" t="s">
        <v>21</v>
      </c>
      <c r="R39" s="85" t="s">
        <v>22</v>
      </c>
      <c r="S39" s="100"/>
      <c r="T39" s="100"/>
      <c r="U39" s="100"/>
      <c r="V39" s="100"/>
      <c r="W39" s="100"/>
      <c r="X39" s="101"/>
    </row>
    <row r="40" spans="1:24">
      <c r="A40" s="121">
        <v>1</v>
      </c>
      <c r="B40" s="120" t="str">
        <f>'Module 1'!B1</f>
        <v>Module 1</v>
      </c>
      <c r="C40" s="82" t="str">
        <f>C4</f>
        <v>EV1</v>
      </c>
      <c r="D40" s="86">
        <f>COUNTIFS('Module 1'!I13:I9999,"Pass",'Module 1'!G13:G9999,"High")</f>
        <v>0</v>
      </c>
      <c r="E40" s="86">
        <f>COUNTIFS('Module 1'!I13:I9999,"Fail",'Module 1'!G13:G9999,"High")</f>
        <v>0</v>
      </c>
      <c r="F40" s="86">
        <f>COUNTIFS('Module 1'!I13:I9999,"Untested",'Module 1'!G13:G9999,"High")</f>
        <v>0</v>
      </c>
      <c r="G40" s="86">
        <f>COUNTIFS('Module 1'!I13:I9999,"Rejected",'Module 1'!G13:G9999,"High")</f>
        <v>0</v>
      </c>
      <c r="H40" s="87">
        <f>'Module 1'!G3</f>
        <v>1</v>
      </c>
      <c r="I40" s="88">
        <f>COUNTIFS('Module 1'!I13:I9999,"Pass",'Module 1'!G13:G9999,"Normal")</f>
        <v>0</v>
      </c>
      <c r="J40" s="88">
        <f>COUNTIFS('Module 1'!I13:I9999,"Fail",'Module 1'!G13:G9999,"Normal")</f>
        <v>0</v>
      </c>
      <c r="K40" s="88">
        <f>COUNTIFS('Module 1'!I13:I9999,"Untested",'Module 1'!G13:G9999,"Normal")</f>
        <v>0</v>
      </c>
      <c r="L40" s="88">
        <f>COUNTIFS('Module 1'!I13:I9999,"Rejected",'Module 1'!G13:G9999,"Normal")</f>
        <v>0</v>
      </c>
      <c r="M40" s="89">
        <f>'Module 1'!H3</f>
        <v>1</v>
      </c>
      <c r="N40" s="90">
        <f>COUNTIFS('Module 1'!I13:I9999,"Pass",'Module 1'!G13:G9999,"Low")</f>
        <v>0</v>
      </c>
      <c r="O40" s="90">
        <f>COUNTIFS('Module 1'!I13:I9999,"Fail",'Module 1'!G13:G9999,"Low")</f>
        <v>0</v>
      </c>
      <c r="P40" s="90">
        <f>COUNTIFS('Module 1'!I13:I9999,"Untested",'Module 1'!G13:G9999,"Low")</f>
        <v>0</v>
      </c>
      <c r="Q40" s="90">
        <f>COUNTIFS('Module 1'!I13:I9999,"Rejected",'Module 1'!G13:G9999,"Low")</f>
        <v>0</v>
      </c>
      <c r="R40" s="91">
        <f>'Module 1'!I3</f>
        <v>1</v>
      </c>
      <c r="S40" s="92">
        <f>'Module 1'!J3</f>
        <v>3</v>
      </c>
      <c r="T40" s="82">
        <f>'Module 1'!D1</f>
        <v>0</v>
      </c>
      <c r="U40" s="82">
        <f>'Module 1'!J8</f>
        <v>0</v>
      </c>
      <c r="V40" s="117"/>
      <c r="W40" s="118"/>
      <c r="X40" s="119"/>
    </row>
    <row r="41" spans="1:24">
      <c r="A41" s="122"/>
      <c r="B41" s="81"/>
      <c r="C41" s="82" t="str">
        <f>C5</f>
        <v>EV2</v>
      </c>
      <c r="D41" s="86">
        <f>COUNTIFS('Module 1'!L13:L9999,"Pass",'Module 1'!G13:G9999,"High")</f>
        <v>0</v>
      </c>
      <c r="E41" s="86">
        <f>COUNTIFS('Module 1'!L13:L9999,"Fail",'Module 1'!G13:G9999,"High")</f>
        <v>0</v>
      </c>
      <c r="F41" s="86">
        <f>COUNTIFS('Module 1'!L13:L9999,"Untested",'Module 1'!G13:G9999,"High")</f>
        <v>0</v>
      </c>
      <c r="G41" s="86">
        <f>COUNTIFS('Module 1'!L13:L9999,"Rejected",'Module 1'!G13:G9999,"High")</f>
        <v>0</v>
      </c>
      <c r="H41" s="87">
        <f>'Module 1'!G3</f>
        <v>1</v>
      </c>
      <c r="I41" s="88">
        <f>COUNTIFS('Module 1'!L13:L9999,"Pass",'Module 1'!G13:G9999,"Normal")</f>
        <v>0</v>
      </c>
      <c r="J41" s="88">
        <f>COUNTIFS('Module 1'!L13:L9999,"Fail",'Module 1'!G13:G9999,"Normal")</f>
        <v>0</v>
      </c>
      <c r="K41" s="88">
        <f>COUNTIFS('Module 1'!L13:L9999,"Untested",'Module 1'!G13:G9999,"Normal")</f>
        <v>0</v>
      </c>
      <c r="L41" s="88">
        <f>COUNTIFS('Module 1'!L13:L9999,"Rejected",'Module 1'!G13:G9999,"Normal")</f>
        <v>0</v>
      </c>
      <c r="M41" s="89">
        <f>'Module 1'!H3</f>
        <v>1</v>
      </c>
      <c r="N41" s="90">
        <f>COUNTIFS('Module 1'!L13:L9999,"Pass",'Module 1'!G13:G9999,"Low")</f>
        <v>0</v>
      </c>
      <c r="O41" s="90">
        <f>COUNTIFS('Module 1'!L13:L9999,"Fail",'Module 1'!G13:G9999,"Low")</f>
        <v>0</v>
      </c>
      <c r="P41" s="90">
        <f>COUNTIFS('Module 1'!L13:L9999,"Untested",'Module 1'!G13:G9999,"Low")</f>
        <v>0</v>
      </c>
      <c r="Q41" s="90">
        <f>COUNTIFS('Module 1'!L13:L9999,"Rejected",'Module 1'!G13:G9999,"Low")</f>
        <v>0</v>
      </c>
      <c r="R41" s="91">
        <f>'Module 1'!I3</f>
        <v>1</v>
      </c>
      <c r="S41" s="92">
        <f>'Module 1'!J3</f>
        <v>3</v>
      </c>
      <c r="T41" s="82">
        <f>'Module 1'!D1</f>
        <v>0</v>
      </c>
      <c r="U41" s="82">
        <f>'Module 1'!J8</f>
        <v>0</v>
      </c>
      <c r="V41" s="117"/>
      <c r="W41" s="118"/>
      <c r="X41" s="119"/>
    </row>
    <row r="42" spans="1:24">
      <c r="A42" s="122"/>
      <c r="B42" s="81"/>
      <c r="C42" s="82" t="str">
        <f>C6</f>
        <v>EV3</v>
      </c>
      <c r="D42" s="86">
        <f>COUNTIFS('Module 1'!O13:O9999,"Pass",'Module 1'!G13:G9999,"High")</f>
        <v>0</v>
      </c>
      <c r="E42" s="86">
        <f>COUNTIFS('Module 1'!O13:O9999,"Fail",'Module 1'!G13:G9999,"High")</f>
        <v>0</v>
      </c>
      <c r="F42" s="86">
        <f>COUNTIFS('Module 1'!O13:O9999,"Untested",'Module 1'!G13:G9999,"High")</f>
        <v>0</v>
      </c>
      <c r="G42" s="86">
        <f>COUNTIFS('Module 1'!O13:O9999,"Rejected",'Module 1'!G13:G9999,"High")</f>
        <v>0</v>
      </c>
      <c r="H42" s="87">
        <f>'Module 1'!G3</f>
        <v>1</v>
      </c>
      <c r="I42" s="88">
        <f>COUNTIFS('Module 1'!O13:O9999,"Pass",'Module 1'!G13:G9999,"Normal")</f>
        <v>0</v>
      </c>
      <c r="J42" s="88">
        <f>COUNTIFS('Module 1'!O13:O9999,"Fail",'Module 1'!G13:G9999,"Normal")</f>
        <v>0</v>
      </c>
      <c r="K42" s="88">
        <f>COUNTIFS('Module 1'!O13:O9999,"Untested",'Module 1'!G13:G9999,"Normal")</f>
        <v>0</v>
      </c>
      <c r="L42" s="88">
        <f>COUNTIFS('Module 1'!O13:O9999,"Rejected",'Module 1'!G13:G9999,"Normal")</f>
        <v>0</v>
      </c>
      <c r="M42" s="89">
        <f>'Module 1'!H3</f>
        <v>1</v>
      </c>
      <c r="N42" s="90">
        <f>COUNTIFS('Module 1'!O13:O9999,"Pass",'Module 1'!G13:G9999,"Low")</f>
        <v>0</v>
      </c>
      <c r="O42" s="90">
        <f>COUNTIFS('Module 1'!O13:O9999,"Fail",'Module 1'!G13:G9999,"Low")</f>
        <v>0</v>
      </c>
      <c r="P42" s="90">
        <f>COUNTIFS('Module 1'!O13:O9999,"Untested",'Module 1'!G13:G9999,"Low")</f>
        <v>0</v>
      </c>
      <c r="Q42" s="90">
        <f>COUNTIFS('Module 1'!O13:O9999,"Rejected",'Module 1'!G13:G9999,"Low")</f>
        <v>0</v>
      </c>
      <c r="R42" s="91">
        <f>'Module 1'!I3</f>
        <v>1</v>
      </c>
      <c r="S42" s="92">
        <f>'Module 1'!J3</f>
        <v>3</v>
      </c>
      <c r="T42" s="82">
        <f>'Module 1'!D1</f>
        <v>0</v>
      </c>
      <c r="U42" s="82">
        <f>'Module 1'!J8</f>
        <v>0</v>
      </c>
      <c r="V42" s="117"/>
      <c r="W42" s="118"/>
      <c r="X42" s="119"/>
    </row>
    <row r="43" spans="1:24">
      <c r="A43" s="122"/>
      <c r="B43" s="81"/>
      <c r="C43" s="82" t="str">
        <f>C7</f>
        <v>EV4</v>
      </c>
      <c r="D43" s="86">
        <f>COUNTIFS('Module 1'!R13:R9999,"Pass",'Module 1'!G13:G9999,"High")</f>
        <v>0</v>
      </c>
      <c r="E43" s="86">
        <f>COUNTIFS('Module 1'!R13:R9999,"Fail",'Module 1'!G13:G9999,"High")</f>
        <v>0</v>
      </c>
      <c r="F43" s="86">
        <f>COUNTIFS('Module 1'!R13:R9999,"Untested",'Module 1'!G13:G9999,"High")</f>
        <v>0</v>
      </c>
      <c r="G43" s="86">
        <f>COUNTIFS('Module 1'!R13:R9999,"Rejected",'Module 1'!G13:G9999,"High")</f>
        <v>0</v>
      </c>
      <c r="H43" s="87">
        <f>'Module 1'!G3</f>
        <v>1</v>
      </c>
      <c r="I43" s="88">
        <f>COUNTIFS('Module 1'!R13:R9999,"Pass",'Module 1'!G13:G9999,"Normal")</f>
        <v>0</v>
      </c>
      <c r="J43" s="88">
        <f>COUNTIFS('Module 1'!R13:R9999,"Fail",'Module 1'!G13:G9999,"Normal")</f>
        <v>0</v>
      </c>
      <c r="K43" s="88">
        <f>COUNTIFS('Module 1'!R13:R9999,"Untested",'Module 1'!G13:G9999,"Normal")</f>
        <v>0</v>
      </c>
      <c r="L43" s="88">
        <f>COUNTIFS('Module 1'!R13:R9999,"Rejected",'Module 1'!G13:G9999,"Normal")</f>
        <v>0</v>
      </c>
      <c r="M43" s="89">
        <f>'Module 1'!H3</f>
        <v>1</v>
      </c>
      <c r="N43" s="90">
        <f>COUNTIFS('Module 1'!R13:R9999,"Pass",'Module 1'!G13:G9999,"Low")</f>
        <v>0</v>
      </c>
      <c r="O43" s="90">
        <f>COUNTIFS('Module 1'!R13:R9999,"Fail",'Module 1'!G13:G9999,"Low")</f>
        <v>0</v>
      </c>
      <c r="P43" s="90">
        <f>COUNTIFS('Module 1'!R13:R9999,"Untested",'Module 1'!G13:G9999,"Low")</f>
        <v>0</v>
      </c>
      <c r="Q43" s="90">
        <f>COUNTIFS('Module 1'!R13:R9999,"Rejected",'Module 1'!G13:G9999,"Low")</f>
        <v>0</v>
      </c>
      <c r="R43" s="91">
        <f>'Module 1'!I3</f>
        <v>1</v>
      </c>
      <c r="S43" s="92">
        <f>'Module 1'!J3</f>
        <v>3</v>
      </c>
      <c r="T43" s="82">
        <f>'Module 1'!D1</f>
        <v>0</v>
      </c>
      <c r="U43" s="82">
        <f>'Module 1'!J8</f>
        <v>0</v>
      </c>
      <c r="V43" s="117"/>
      <c r="W43" s="118"/>
      <c r="X43" s="119"/>
    </row>
    <row r="44" spans="1:24">
      <c r="A44" s="122"/>
      <c r="B44" s="81"/>
      <c r="C44" s="82" t="str">
        <f>C8</f>
        <v>EV5</v>
      </c>
      <c r="D44" s="86">
        <f>COUNTIFS('Module 1'!U13:U9999,"Pass",'Module 1'!G13:G9999,"High")</f>
        <v>0</v>
      </c>
      <c r="E44" s="86">
        <f>COUNTIFS('Module 1'!U13:U9999,"Fail",'Module 1'!G13:G9999,"High")</f>
        <v>0</v>
      </c>
      <c r="F44" s="86">
        <f>COUNTIFS('Module 1'!U13:U9999,"Untested",'Module 1'!G13:G9999,"High")</f>
        <v>0</v>
      </c>
      <c r="G44" s="86">
        <f>COUNTIFS('Module 1'!U13:U9999,"Rejected",'Module 1'!G13:G9999,"High")</f>
        <v>0</v>
      </c>
      <c r="H44" s="87">
        <f>'Module 1'!G3</f>
        <v>1</v>
      </c>
      <c r="I44" s="88">
        <f>COUNTIFS('Module 1'!U13:U9999,"Pass",'Module 1'!G13:G9999,"Normal")</f>
        <v>0</v>
      </c>
      <c r="J44" s="88">
        <f>COUNTIFS('Module 1'!U13:U9999,"Fail",'Module 1'!G13:G9999,"Normal")</f>
        <v>0</v>
      </c>
      <c r="K44" s="88">
        <f>COUNTIFS('Module 1'!U13:U9999,"Untested",'Module 1'!G13:G9999,"Normal")</f>
        <v>0</v>
      </c>
      <c r="L44" s="88">
        <f>COUNTIFS('Module 1'!U13:U9999,"Rejected",'Module 1'!G13:G9999,"Normal")</f>
        <v>0</v>
      </c>
      <c r="M44" s="89">
        <f>'Module 1'!H3</f>
        <v>1</v>
      </c>
      <c r="N44" s="90">
        <f>COUNTIFS('Module 1'!U13:U9999,"Pass",'Module 1'!G13:G9999,"Low")</f>
        <v>0</v>
      </c>
      <c r="O44" s="90">
        <f>COUNTIFS('Module 1'!U13:U9999,"Fail",'Module 1'!G13:G9999,"Low")</f>
        <v>0</v>
      </c>
      <c r="P44" s="90">
        <f>COUNTIFS('Module 1'!U13:U9999,"Untested",'Module 1'!G13:G9999,"Low")</f>
        <v>0</v>
      </c>
      <c r="Q44" s="90">
        <f>COUNTIFS('Module 1'!U13:U9999,"Rejected",'Module 1'!G13:G9999,"Low")</f>
        <v>0</v>
      </c>
      <c r="R44" s="91">
        <f>'Module 1'!I3</f>
        <v>1</v>
      </c>
      <c r="S44" s="92">
        <f>'Module 1'!J3</f>
        <v>3</v>
      </c>
      <c r="T44" s="82">
        <f>'Module 1'!D1</f>
        <v>0</v>
      </c>
      <c r="U44" s="82">
        <f>'Module 1'!J8</f>
        <v>0</v>
      </c>
      <c r="V44" s="117"/>
      <c r="W44" s="118"/>
      <c r="X44" s="119"/>
    </row>
    <row r="45" spans="1:24">
      <c r="A45" s="122"/>
      <c r="B45" s="81"/>
      <c r="C45" s="82" t="str">
        <f>C9</f>
        <v>EV6</v>
      </c>
      <c r="D45" s="86">
        <f>COUNTIFS('Module 1'!X13:X9999,"Pass",'Module 1'!G13:G9999,"High")</f>
        <v>0</v>
      </c>
      <c r="E45" s="86">
        <f>COUNTIFS('Module 1'!X13:X9999,"Fail",'Module 1'!G13:G9999,"High")</f>
        <v>0</v>
      </c>
      <c r="F45" s="86">
        <f>COUNTIFS('Module 1'!X13:X9999,"Untested",'Module 1'!G13:G9999,"High")</f>
        <v>0</v>
      </c>
      <c r="G45" s="86">
        <f>COUNTIFS('Module 1'!X13:X9999,"Rejected",'Module 1'!G13:G9999,"High")</f>
        <v>0</v>
      </c>
      <c r="H45" s="87">
        <f>'Module 1'!G3</f>
        <v>1</v>
      </c>
      <c r="I45" s="88">
        <f>COUNTIFS('Module 1'!X13:X9999,"Pass",'Module 1'!G13:G9999,"Normal")</f>
        <v>0</v>
      </c>
      <c r="J45" s="88">
        <f>COUNTIFS('Module 1'!X13:X9999,"Fail",'Module 1'!G13:G9999,"Normal")</f>
        <v>0</v>
      </c>
      <c r="K45" s="88">
        <f>COUNTIFS('Module 1'!X13:X9999,"Untested",'Module 1'!G13:G9999,"Normal")</f>
        <v>0</v>
      </c>
      <c r="L45" s="88">
        <f>COUNTIFS('Module 1'!X13:X9999,"Rejected",'Module 1'!G13:G9999,"Normal")</f>
        <v>0</v>
      </c>
      <c r="M45" s="89">
        <f>'Module 1'!H3</f>
        <v>1</v>
      </c>
      <c r="N45" s="90">
        <f>COUNTIFS('Module 1'!X13:X9999,"Pass",'Module 1'!G13:G9999,"Low")</f>
        <v>0</v>
      </c>
      <c r="O45" s="90">
        <f>COUNTIFS('Module 1'!X13:X9999,"Fail",'Module 1'!G13:G9999,"Low")</f>
        <v>0</v>
      </c>
      <c r="P45" s="90">
        <f>COUNTIFS('Module 1'!X13:X9999,"Untested",'Module 1'!G13:G9999,"Low")</f>
        <v>0</v>
      </c>
      <c r="Q45" s="90">
        <f>COUNTIFS('Module 1'!X13:X9999,"Rejected",'Module 1'!G13:G9999,"Low")</f>
        <v>0</v>
      </c>
      <c r="R45" s="91">
        <f>'Module 1'!I3</f>
        <v>1</v>
      </c>
      <c r="S45" s="92">
        <f>'Module 1'!J3</f>
        <v>3</v>
      </c>
      <c r="T45" s="82">
        <f>'Module 1'!D1</f>
        <v>0</v>
      </c>
      <c r="U45" s="82">
        <f>'Module 1'!J8</f>
        <v>0</v>
      </c>
      <c r="V45" s="117"/>
      <c r="W45" s="118"/>
      <c r="X45" s="119"/>
    </row>
    <row r="46" spans="1:24">
      <c r="A46" s="93"/>
      <c r="B46" s="94"/>
      <c r="C46" s="82" t="str">
        <f>C10</f>
        <v>EV7</v>
      </c>
      <c r="D46" s="86">
        <f>COUNTIFS('Module 1'!AA13:AA9999,"Pass",'Module 1'!G13:G9999,"High")</f>
        <v>0</v>
      </c>
      <c r="E46" s="86">
        <f>COUNTIFS('Module 1'!AA13:AA9999,"Fail",'Module 1'!G13:G9999,"High")</f>
        <v>0</v>
      </c>
      <c r="F46" s="86">
        <f>COUNTIFS('Module 1'!AA13:AA9999,"Untested",'Module 1'!G13:G9999,"High")</f>
        <v>0</v>
      </c>
      <c r="G46" s="86">
        <f>COUNTIFS('Module 1'!AA13:AA9999,"Rejected",'Module 1'!G13:G9999,"High")</f>
        <v>0</v>
      </c>
      <c r="H46" s="87">
        <f>'Module 1'!G3</f>
        <v>1</v>
      </c>
      <c r="I46" s="88">
        <f>COUNTIFS('Module 1'!AA13:AA9999,"Pass",'Module 1'!G13:G9999,"Normal")</f>
        <v>0</v>
      </c>
      <c r="J46" s="88">
        <f>COUNTIFS('Module 1'!AA13:AA9999,"Fail",'Module 1'!G13:G9999,"Normal")</f>
        <v>0</v>
      </c>
      <c r="K46" s="88">
        <f>COUNTIFS('Module 1'!AA13:AA9999,"Untested",'Module 1'!G13:G9999,"Normal")</f>
        <v>0</v>
      </c>
      <c r="L46" s="88">
        <f>COUNTIFS('Module 1'!AA13:AA9999,"Rejected",'Module 1'!G13:G9999,"Normal")</f>
        <v>0</v>
      </c>
      <c r="M46" s="89">
        <f>'Module 1'!H3</f>
        <v>1</v>
      </c>
      <c r="N46" s="90">
        <f>COUNTIFS('Module 1'!AA13:AA9999,"Pass",'Module 1'!G13:G9999,"Low")</f>
        <v>0</v>
      </c>
      <c r="O46" s="90">
        <f>COUNTIFS('Module 1'!AA13:AA9999,"Fail",'Module 1'!G13:G9999,"Low")</f>
        <v>0</v>
      </c>
      <c r="P46" s="90">
        <f>COUNTIFS('Module 1'!AA13:AA9999,"Untested",'Module 1'!G13:G9999,"Low")</f>
        <v>0</v>
      </c>
      <c r="Q46" s="90">
        <f>COUNTIFS('Module 1'!AA13:AA9999,"Rejected",'Module 1'!G13:G9999,"Low")</f>
        <v>0</v>
      </c>
      <c r="R46" s="91">
        <f>'Module 1'!I3</f>
        <v>1</v>
      </c>
      <c r="S46" s="92">
        <f>'Module 1'!J3</f>
        <v>3</v>
      </c>
      <c r="T46" s="82">
        <f>'Module 1'!D1</f>
        <v>0</v>
      </c>
      <c r="U46" s="82">
        <f>'Module 1'!J8</f>
        <v>0</v>
      </c>
      <c r="V46" s="117"/>
      <c r="W46" s="118"/>
      <c r="X46" s="119"/>
    </row>
    <row r="48" spans="1:24">
      <c r="A48" s="60" t="s">
        <v>64</v>
      </c>
      <c r="B48" s="98"/>
    </row>
    <row r="49" spans="1:24">
      <c r="A49" s="99"/>
      <c r="B49" s="99"/>
      <c r="C49" s="95"/>
      <c r="D49" s="83" t="s">
        <v>24</v>
      </c>
      <c r="E49" s="83"/>
      <c r="F49" s="83"/>
      <c r="G49" s="83"/>
      <c r="H49" s="83"/>
      <c r="I49" s="83" t="s">
        <v>25</v>
      </c>
      <c r="J49" s="83"/>
      <c r="K49" s="83"/>
      <c r="L49" s="83"/>
      <c r="M49" s="83"/>
      <c r="N49" s="83" t="s">
        <v>26</v>
      </c>
      <c r="O49" s="83"/>
      <c r="P49" s="83"/>
      <c r="Q49" s="83"/>
      <c r="R49" s="83"/>
      <c r="S49" s="83" t="s">
        <v>59</v>
      </c>
      <c r="T49" s="83" t="s">
        <v>60</v>
      </c>
      <c r="U49" s="83" t="s">
        <v>27</v>
      </c>
      <c r="V49" s="83" t="s">
        <v>28</v>
      </c>
      <c r="W49" s="100"/>
      <c r="X49" s="101"/>
    </row>
    <row r="50" spans="1:24" ht="31.5">
      <c r="A50" s="84" t="s">
        <v>57</v>
      </c>
      <c r="B50" s="85" t="s">
        <v>58</v>
      </c>
      <c r="C50" s="85" t="s">
        <v>23</v>
      </c>
      <c r="D50" s="85" t="s">
        <v>18</v>
      </c>
      <c r="E50" s="85" t="s">
        <v>19</v>
      </c>
      <c r="F50" s="85" t="s">
        <v>20</v>
      </c>
      <c r="G50" s="85" t="s">
        <v>21</v>
      </c>
      <c r="H50" s="85" t="s">
        <v>22</v>
      </c>
      <c r="I50" s="85" t="s">
        <v>18</v>
      </c>
      <c r="J50" s="85" t="s">
        <v>19</v>
      </c>
      <c r="K50" s="85" t="s">
        <v>20</v>
      </c>
      <c r="L50" s="85" t="s">
        <v>21</v>
      </c>
      <c r="M50" s="85" t="s">
        <v>22</v>
      </c>
      <c r="N50" s="85" t="s">
        <v>18</v>
      </c>
      <c r="O50" s="85" t="s">
        <v>19</v>
      </c>
      <c r="P50" s="85" t="s">
        <v>20</v>
      </c>
      <c r="Q50" s="85" t="s">
        <v>21</v>
      </c>
      <c r="R50" s="85" t="s">
        <v>22</v>
      </c>
      <c r="S50" s="100"/>
      <c r="T50" s="100"/>
      <c r="U50" s="100"/>
      <c r="V50" s="100"/>
      <c r="W50" s="100"/>
      <c r="X50" s="101"/>
    </row>
    <row r="51" spans="1:24">
      <c r="A51" s="121">
        <v>1</v>
      </c>
      <c r="B51" s="120" t="str">
        <f>'Module 1'!B1</f>
        <v>Module 1</v>
      </c>
      <c r="C51" s="82" t="str">
        <f>C4</f>
        <v>EV1</v>
      </c>
      <c r="D51" s="86">
        <f>COUNTIFS('Module 1'!AE13:AE9999,"Pass",'Module 1'!G13:G9999,"High")</f>
        <v>0</v>
      </c>
      <c r="E51" s="86">
        <f>COUNTIFS('Module 1'!AE13:AE9999,"Fail",'Module 1'!G13:G9999,"High")</f>
        <v>0</v>
      </c>
      <c r="F51" s="86">
        <f>COUNTIFS('Module 1'!AE13:AE9999,"Untested",'Module 1'!G13:G9999,"High")</f>
        <v>0</v>
      </c>
      <c r="G51" s="86">
        <f>COUNTIFS('Module 1'!AE13:AE9999,"Rejected",'Module 1'!G13:G9999,"High")</f>
        <v>0</v>
      </c>
      <c r="H51" s="87">
        <f>'Module 1'!G3</f>
        <v>1</v>
      </c>
      <c r="I51" s="88">
        <f>COUNTIFS('Module 1'!AE13:AE9999,"Pass",'Module 1'!G13:G9999,"Normal")</f>
        <v>0</v>
      </c>
      <c r="J51" s="88">
        <f>COUNTIFS('Module 1'!AE13:AE9999,"Fail",'Module 1'!G13:G9999,"Normal")</f>
        <v>0</v>
      </c>
      <c r="K51" s="88">
        <f>COUNTIFS('Module 1'!AE13:AE9999,"Untested",'Module 1'!G13:G9999,"Normal")</f>
        <v>0</v>
      </c>
      <c r="L51" s="88">
        <f>COUNTIFS('Module 1'!AE13:AE9999,"Rejected",'Module 1'!G13:G9999,"Normal")</f>
        <v>0</v>
      </c>
      <c r="M51" s="89">
        <f>'Module 1'!H3</f>
        <v>1</v>
      </c>
      <c r="N51" s="90">
        <f>COUNTIFS('Module 1'!AE13:AE9999,"Pass",'Module 1'!G13:G9999,"Low")</f>
        <v>0</v>
      </c>
      <c r="O51" s="90">
        <f>COUNTIFS('Module 1'!AE13:AE9999,"Fail",'Module 1'!G13:G9999,"Low")</f>
        <v>0</v>
      </c>
      <c r="P51" s="90">
        <f>COUNTIFS('Module 1'!AE13:AE9999,"Untested",'Module 1'!G13:G9999,"Low")</f>
        <v>0</v>
      </c>
      <c r="Q51" s="90">
        <f>COUNTIFS('Module 1'!AE13:AE9999,"Rejected",'Module 1'!G13:G9999,"Low")</f>
        <v>0</v>
      </c>
      <c r="R51" s="91">
        <f>'Module 1'!I3</f>
        <v>1</v>
      </c>
      <c r="S51" s="92">
        <f>'Module 1'!J3</f>
        <v>3</v>
      </c>
      <c r="T51" s="82">
        <f>'Module 1'!D1</f>
        <v>0</v>
      </c>
      <c r="U51" s="82">
        <f>'Module 1'!J8</f>
        <v>0</v>
      </c>
      <c r="V51" s="117"/>
      <c r="W51" s="118"/>
      <c r="X51" s="119"/>
    </row>
    <row r="52" spans="1:24">
      <c r="A52" s="122"/>
      <c r="B52" s="81"/>
      <c r="C52" s="82" t="str">
        <f>C5</f>
        <v>EV2</v>
      </c>
      <c r="D52" s="86">
        <f>COUNTIFS('Module 1'!AH13:AH9999,"Pass",'Module 1'!G13:G9999,"High")</f>
        <v>0</v>
      </c>
      <c r="E52" s="86">
        <f>COUNTIFS('Module 1'!AH13:AH9999,"Fail",'Module 1'!G13:G9999,"High")</f>
        <v>0</v>
      </c>
      <c r="F52" s="86">
        <f>COUNTIFS('Module 1'!AH13:AH9999,"Untested",'Module 1'!G13:G9999,"High")</f>
        <v>0</v>
      </c>
      <c r="G52" s="86">
        <f>COUNTIFS('Module 1'!AH13:AH9999,"Rejected",'Module 1'!G13:G9999,"High")</f>
        <v>0</v>
      </c>
      <c r="H52" s="87">
        <f>'Module 1'!G3</f>
        <v>1</v>
      </c>
      <c r="I52" s="88">
        <f>COUNTIFS('Module 1'!AH13:AH9999,"Pass",'Module 1'!G13:G9999,"Normal")</f>
        <v>0</v>
      </c>
      <c r="J52" s="88">
        <f>COUNTIFS('Module 1'!AH13:AH9999,"Fail",'Module 1'!G13:G9999,"Normal")</f>
        <v>0</v>
      </c>
      <c r="K52" s="88">
        <f>COUNTIFS('Module 1'!AH13:AH9999,"Untested",'Module 1'!G13:G9999,"Normal")</f>
        <v>0</v>
      </c>
      <c r="L52" s="88">
        <f>COUNTIFS('Module 1'!AH13:AH9999,"Rejected",'Module 1'!G13:G9999,"Normal")</f>
        <v>0</v>
      </c>
      <c r="M52" s="89">
        <f>'Module 1'!H3</f>
        <v>1</v>
      </c>
      <c r="N52" s="90">
        <f>COUNTIFS('Module 1'!AH13:AH9999,"Pass",'Module 1'!G13:G9999,"Low")</f>
        <v>0</v>
      </c>
      <c r="O52" s="90">
        <f>COUNTIFS('Module 1'!AH13:AH9999,"Fail",'Module 1'!G13:G9999,"Low")</f>
        <v>0</v>
      </c>
      <c r="P52" s="90">
        <f>COUNTIFS('Module 1'!AH13:AH9999,"Untested",'Module 1'!G13:G9999,"Low")</f>
        <v>0</v>
      </c>
      <c r="Q52" s="90">
        <f>COUNTIFS('Module 1'!AH13:AH9999,"Rejected",'Module 1'!G13:G9999,"Low")</f>
        <v>0</v>
      </c>
      <c r="R52" s="91">
        <f>'Module 1'!I3</f>
        <v>1</v>
      </c>
      <c r="S52" s="92">
        <f>'Module 1'!J3</f>
        <v>3</v>
      </c>
      <c r="T52" s="82">
        <f>'Module 1'!D1</f>
        <v>0</v>
      </c>
      <c r="U52" s="82">
        <f>'Module 1'!J8</f>
        <v>0</v>
      </c>
      <c r="V52" s="117"/>
      <c r="W52" s="118"/>
      <c r="X52" s="119"/>
    </row>
    <row r="53" spans="1:24">
      <c r="A53" s="122"/>
      <c r="B53" s="81"/>
      <c r="C53" s="82" t="str">
        <f>C6</f>
        <v>EV3</v>
      </c>
      <c r="D53" s="86">
        <f>COUNTIFS('Module 1'!AK13:AK9999,"Pass",'Module 1'!G13:G9999,"High")</f>
        <v>0</v>
      </c>
      <c r="E53" s="86">
        <f>COUNTIFS('Module 1'!AK13:AK9999,"Fail",'Module 1'!G13:G9999,"High")</f>
        <v>0</v>
      </c>
      <c r="F53" s="86">
        <f>COUNTIFS('Module 1'!AK13:AK9999,"Untested",'Module 1'!G13:G9999,"High")</f>
        <v>0</v>
      </c>
      <c r="G53" s="86">
        <f>COUNTIFS('Module 1'!AK13:AK9999,"Rejected",'Module 1'!G13:G9999,"High")</f>
        <v>0</v>
      </c>
      <c r="H53" s="87">
        <f>'Module 1'!G3</f>
        <v>1</v>
      </c>
      <c r="I53" s="88">
        <f>COUNTIFS('Module 1'!AK13:AK9999,"Pass",'Module 1'!G13:G9999,"Normal")</f>
        <v>0</v>
      </c>
      <c r="J53" s="88">
        <f>COUNTIFS('Module 1'!AK13:AK9999,"Fail",'Module 1'!G13:G9999,"Normal")</f>
        <v>0</v>
      </c>
      <c r="K53" s="88">
        <f>COUNTIFS('Module 1'!AK13:AK9999,"Untested",'Module 1'!G13:G9999,"Normal")</f>
        <v>0</v>
      </c>
      <c r="L53" s="88">
        <f>COUNTIFS('Module 1'!AK13:AK9999,"Rejected",'Module 1'!G13:G9999,"Normal")</f>
        <v>0</v>
      </c>
      <c r="M53" s="89">
        <f>'Module 1'!H3</f>
        <v>1</v>
      </c>
      <c r="N53" s="90">
        <f>COUNTIFS('Module 1'!AK13:AK9999,"Pass",'Module 1'!G13:G9999,"Low")</f>
        <v>0</v>
      </c>
      <c r="O53" s="90">
        <f>COUNTIFS('Module 1'!AK13:AK9999,"Fail",'Module 1'!G13:G9999,"Low")</f>
        <v>0</v>
      </c>
      <c r="P53" s="90">
        <f>COUNTIFS('Module 1'!AK13:AK9999,"Untested",'Module 1'!G13:G9999,"Low")</f>
        <v>0</v>
      </c>
      <c r="Q53" s="90">
        <f>COUNTIFS('Module 1'!AK13:AK9999,"Rejected",'Module 1'!G13:G9999,"Low")</f>
        <v>0</v>
      </c>
      <c r="R53" s="91">
        <f>'Module 1'!I3</f>
        <v>1</v>
      </c>
      <c r="S53" s="92">
        <f>'Module 1'!J3</f>
        <v>3</v>
      </c>
      <c r="T53" s="82">
        <f>'Module 1'!D1</f>
        <v>0</v>
      </c>
      <c r="U53" s="82">
        <f>'Module 1'!J8</f>
        <v>0</v>
      </c>
      <c r="V53" s="117"/>
      <c r="W53" s="118"/>
      <c r="X53" s="119"/>
    </row>
    <row r="54" spans="1:24">
      <c r="A54" s="122"/>
      <c r="B54" s="81"/>
      <c r="C54" s="82" t="str">
        <f>C7</f>
        <v>EV4</v>
      </c>
      <c r="D54" s="86">
        <f>COUNTIFS('Module 1'!AN13:AN9999,"Pass",'Module 1'!G13:G9999,"High")</f>
        <v>0</v>
      </c>
      <c r="E54" s="86">
        <f>COUNTIFS('Module 1'!AN13:AN9999,"Fail",'Module 1'!G13:G9999,"High")</f>
        <v>0</v>
      </c>
      <c r="F54" s="86">
        <f>COUNTIFS('Module 1'!AN13:AN9999,"Untested",'Module 1'!G13:G9999,"High")</f>
        <v>0</v>
      </c>
      <c r="G54" s="86">
        <f>COUNTIFS('Module 1'!AN13:AN9999,"Rejected",'Module 1'!G13:G9999,"High")</f>
        <v>0</v>
      </c>
      <c r="H54" s="87">
        <f>'Module 1'!G3</f>
        <v>1</v>
      </c>
      <c r="I54" s="88">
        <f>COUNTIFS('Module 1'!AN13:AN9999,"Pass",'Module 1'!G13:G9999,"Normal")</f>
        <v>0</v>
      </c>
      <c r="J54" s="88">
        <f>COUNTIFS('Module 1'!AN13:AN9999,"Fail",'Module 1'!G13:G9999,"Normal")</f>
        <v>0</v>
      </c>
      <c r="K54" s="88">
        <f>COUNTIFS('Module 1'!AN13:AN9999,"Untested",'Module 1'!G13:G9999,"Normal")</f>
        <v>0</v>
      </c>
      <c r="L54" s="88">
        <f>COUNTIFS('Module 1'!AN13:AN9999,"Rejected",'Module 1'!G13:G9999,"Normal")</f>
        <v>0</v>
      </c>
      <c r="M54" s="89">
        <f>'Module 1'!H3</f>
        <v>1</v>
      </c>
      <c r="N54" s="90">
        <f>COUNTIFS('Module 1'!AN13:AN9999,"Pass",'Module 1'!G13:G9999,"Low")</f>
        <v>0</v>
      </c>
      <c r="O54" s="90">
        <f>COUNTIFS('Module 1'!AN13:AN9999,"Fail",'Module 1'!G13:G9999,"Low")</f>
        <v>0</v>
      </c>
      <c r="P54" s="90">
        <f>COUNTIFS('Module 1'!AN13:AN9999,"Untested",'Module 1'!G13:G9999,"Low")</f>
        <v>0</v>
      </c>
      <c r="Q54" s="90">
        <f>COUNTIFS('Module 1'!AN13:AN9999,"Rejected",'Module 1'!G13:G9999,"Low")</f>
        <v>0</v>
      </c>
      <c r="R54" s="91">
        <f>'Module 1'!I3</f>
        <v>1</v>
      </c>
      <c r="S54" s="92">
        <f>'Module 1'!J3</f>
        <v>3</v>
      </c>
      <c r="T54" s="82">
        <f>'Module 1'!D1</f>
        <v>0</v>
      </c>
      <c r="U54" s="82">
        <f>'Module 1'!J8</f>
        <v>0</v>
      </c>
      <c r="V54" s="117"/>
      <c r="W54" s="118"/>
      <c r="X54" s="119"/>
    </row>
    <row r="55" spans="1:24">
      <c r="A55" s="122"/>
      <c r="B55" s="81"/>
      <c r="C55" s="82" t="str">
        <f>C8</f>
        <v>EV5</v>
      </c>
      <c r="D55" s="86">
        <f>COUNTIFS('Module 1'!AQ13:AQ9999,"Pass",'Module 1'!G13:G9999,"High")</f>
        <v>0</v>
      </c>
      <c r="E55" s="86">
        <f>COUNTIFS('Module 1'!AQ13:AQ9999,"Fail",'Module 1'!G13:G9999,"High")</f>
        <v>0</v>
      </c>
      <c r="F55" s="86">
        <f>COUNTIFS('Module 1'!AQ13:AQ9999,"Untested",'Module 1'!G13:G9999,"High")</f>
        <v>0</v>
      </c>
      <c r="G55" s="86">
        <f>COUNTIFS('Module 1'!AQ13:AQ9999,"Rejected",'Module 1'!G13:G9999,"High")</f>
        <v>0</v>
      </c>
      <c r="H55" s="87">
        <f>'Module 1'!G3</f>
        <v>1</v>
      </c>
      <c r="I55" s="88">
        <f>COUNTIFS('Module 1'!AQ13:AQ9999,"Pass",'Module 1'!G13:G9999,"Normal")</f>
        <v>0</v>
      </c>
      <c r="J55" s="88">
        <f>COUNTIFS('Module 1'!AQ13:AQ9999,"Fail",'Module 1'!G13:G9999,"Normal")</f>
        <v>0</v>
      </c>
      <c r="K55" s="88">
        <f>COUNTIFS('Module 1'!AQ13:AQ9999,"Untested",'Module 1'!G13:G9999,"Normal")</f>
        <v>0</v>
      </c>
      <c r="L55" s="88">
        <f>COUNTIFS('Module 1'!AQ13:AQ9999,"Rejected",'Module 1'!G13:G9999,"Normal")</f>
        <v>0</v>
      </c>
      <c r="M55" s="89">
        <f>'Module 1'!H3</f>
        <v>1</v>
      </c>
      <c r="N55" s="90">
        <f>COUNTIFS('Module 1'!AQ13:AQ9999,"Pass",'Module 1'!G13:G9999,"Low")</f>
        <v>0</v>
      </c>
      <c r="O55" s="90">
        <f>COUNTIFS('Module 1'!AQ13:AQ9999,"Fail",'Module 1'!G13:G9999,"Low")</f>
        <v>0</v>
      </c>
      <c r="P55" s="90">
        <f>COUNTIFS('Module 1'!AQ13:AQ9999,"Untested",'Module 1'!G13:G9999,"Low")</f>
        <v>0</v>
      </c>
      <c r="Q55" s="90">
        <f>COUNTIFS('Module 1'!AQ13:AQ9999,"Rejected",'Module 1'!G13:G9999,"Low")</f>
        <v>0</v>
      </c>
      <c r="R55" s="91">
        <f>'Module 1'!I3</f>
        <v>1</v>
      </c>
      <c r="S55" s="92">
        <f>'Module 1'!J3</f>
        <v>3</v>
      </c>
      <c r="T55" s="82">
        <f>'Module 1'!D1</f>
        <v>0</v>
      </c>
      <c r="U55" s="82">
        <f>'Module 1'!J8</f>
        <v>0</v>
      </c>
      <c r="V55" s="117"/>
      <c r="W55" s="118"/>
      <c r="X55" s="119"/>
    </row>
    <row r="56" spans="1:24">
      <c r="A56" s="122"/>
      <c r="B56" s="81"/>
      <c r="C56" s="82" t="str">
        <f>C9</f>
        <v>EV6</v>
      </c>
      <c r="D56" s="86">
        <f>COUNTIFS('Module 1'!AT13:AT9999,"Pass",'Module 1'!G13:G9999,"High")</f>
        <v>0</v>
      </c>
      <c r="E56" s="86">
        <f>COUNTIFS('Module 1'!AT13:AT9999,"Fail",'Module 1'!G13:G9999,"High")</f>
        <v>0</v>
      </c>
      <c r="F56" s="86">
        <f>COUNTIFS('Module 1'!AT13:AT9999,"Untested",'Module 1'!G13:G9999,"High")</f>
        <v>0</v>
      </c>
      <c r="G56" s="86">
        <f>COUNTIFS('Module 1'!AT13:AT9999,"Rejected",'Module 1'!G13:G9999,"High")</f>
        <v>0</v>
      </c>
      <c r="H56" s="87">
        <f>'Module 1'!G3</f>
        <v>1</v>
      </c>
      <c r="I56" s="88">
        <f>COUNTIFS('Module 1'!AT13:AT9999,"Pass",'Module 1'!G13:G9999,"Normal")</f>
        <v>0</v>
      </c>
      <c r="J56" s="88">
        <f>COUNTIFS('Module 1'!AT13:AT9999,"Fail",'Module 1'!G13:G9999,"Normal")</f>
        <v>0</v>
      </c>
      <c r="K56" s="88">
        <f>COUNTIFS('Module 1'!AT13:AT9999,"Untested",'Module 1'!G13:G9999,"Normal")</f>
        <v>0</v>
      </c>
      <c r="L56" s="88">
        <f>COUNTIFS('Module 1'!AT13:AT9999,"Rejected",'Module 1'!G13:G9999,"Normal")</f>
        <v>0</v>
      </c>
      <c r="M56" s="89">
        <f>'Module 1'!H3</f>
        <v>1</v>
      </c>
      <c r="N56" s="90">
        <f>COUNTIFS('Module 1'!AT13:AT9999,"Pass",'Module 1'!G13:G9999,"Low")</f>
        <v>0</v>
      </c>
      <c r="O56" s="90">
        <f>COUNTIFS('Module 1'!AT13:AT9999,"Fail",'Module 1'!G13:G9999,"Low")</f>
        <v>0</v>
      </c>
      <c r="P56" s="90">
        <f>COUNTIFS('Module 1'!AT13:AT9999,"Untested",'Module 1'!G13:G9999,"Low")</f>
        <v>0</v>
      </c>
      <c r="Q56" s="90">
        <f>COUNTIFS('Module 1'!AT13:AT9999,"Rejected",'Module 1'!G13:G9999,"Low")</f>
        <v>0</v>
      </c>
      <c r="R56" s="91">
        <f>'Module 1'!I3</f>
        <v>1</v>
      </c>
      <c r="S56" s="92">
        <f>'Module 1'!J3</f>
        <v>3</v>
      </c>
      <c r="T56" s="82">
        <f>'Module 1'!D1</f>
        <v>0</v>
      </c>
      <c r="U56" s="82">
        <f>'Module 1'!J8</f>
        <v>0</v>
      </c>
      <c r="V56" s="117"/>
      <c r="W56" s="118"/>
      <c r="X56" s="119"/>
    </row>
    <row r="57" spans="1:24">
      <c r="A57" s="93"/>
      <c r="B57" s="94"/>
      <c r="C57" s="82" t="str">
        <f>C10</f>
        <v>EV7</v>
      </c>
      <c r="D57" s="86">
        <f>COUNTIFS('Module 1'!AW13:AW9999,"Pass",'Module 1'!G13:G9999,"High")</f>
        <v>0</v>
      </c>
      <c r="E57" s="86">
        <f>COUNTIFS('Module 1'!AW13:AW9999,"Fail",'Module 1'!G13:G9999,"High")</f>
        <v>0</v>
      </c>
      <c r="F57" s="86">
        <f>COUNTIFS('Module 1'!AW13:AW9999,"Untested",'Module 1'!G13:G9999,"High")</f>
        <v>0</v>
      </c>
      <c r="G57" s="86">
        <f>COUNTIFS('Module 1'!AW13:AW9999,"Rejected",'Module 1'!G13:G9999,"High")</f>
        <v>0</v>
      </c>
      <c r="H57" s="87">
        <f>'Module 1'!G3</f>
        <v>1</v>
      </c>
      <c r="I57" s="88">
        <f>COUNTIFS('Module 1'!AW13:AW9999,"Pass",'Module 1'!G13:G9999,"Normal")</f>
        <v>0</v>
      </c>
      <c r="J57" s="88">
        <f>COUNTIFS('Module 1'!AW13:AW9999,"Fail",'Module 1'!G13:G9999,"Normal")</f>
        <v>0</v>
      </c>
      <c r="K57" s="88">
        <f>COUNTIFS('Module 1'!AW13:AW9999,"Untested",'Module 1'!G13:G9999,"Normal")</f>
        <v>0</v>
      </c>
      <c r="L57" s="88">
        <f>COUNTIFS('Module 1'!AW13:AW9999,"Rejected",'Module 1'!G13:G9999,"Normal")</f>
        <v>0</v>
      </c>
      <c r="M57" s="89">
        <f>'Module 1'!H3</f>
        <v>1</v>
      </c>
      <c r="N57" s="90">
        <f>COUNTIFS('Module 1'!AW13:AW9999,"Pass",'Module 1'!G13:G9999,"Low")</f>
        <v>0</v>
      </c>
      <c r="O57" s="90">
        <f>COUNTIFS('Module 1'!AW13:AW9999,"Fail",'Module 1'!G13:G9999,"Low")</f>
        <v>0</v>
      </c>
      <c r="P57" s="90">
        <f>COUNTIFS('Module 1'!AW13:AW9999,"Untested",'Module 1'!G13:G9999,"Low")</f>
        <v>0</v>
      </c>
      <c r="Q57" s="90">
        <f>COUNTIFS('Module 1'!AW13:AW9999,"Rejected",'Module 1'!G13:G9999,"Low")</f>
        <v>0</v>
      </c>
      <c r="R57" s="91">
        <f>'Module 1'!I3</f>
        <v>1</v>
      </c>
      <c r="S57" s="92">
        <f>'Module 1'!J3</f>
        <v>3</v>
      </c>
      <c r="T57" s="82">
        <f>'Module 1'!D1</f>
        <v>0</v>
      </c>
      <c r="U57" s="82">
        <f>'Module 1'!J8</f>
        <v>0</v>
      </c>
      <c r="V57" s="117"/>
      <c r="W57" s="118"/>
      <c r="X57" s="119"/>
    </row>
  </sheetData>
  <mergeCells count="69">
    <mergeCell ref="V55:X55"/>
    <mergeCell ref="V45:X45"/>
    <mergeCell ref="V56:X56"/>
    <mergeCell ref="V46:X46"/>
    <mergeCell ref="V57:X57"/>
    <mergeCell ref="A51:A57"/>
    <mergeCell ref="B51:B57"/>
    <mergeCell ref="V52:X52"/>
    <mergeCell ref="V42:X42"/>
    <mergeCell ref="V53:X53"/>
    <mergeCell ref="V43:X43"/>
    <mergeCell ref="V54:X54"/>
    <mergeCell ref="T49:T50"/>
    <mergeCell ref="U49:U50"/>
    <mergeCell ref="V49:X50"/>
    <mergeCell ref="V40:X40"/>
    <mergeCell ref="V51:X51"/>
    <mergeCell ref="A48:B49"/>
    <mergeCell ref="D49:H49"/>
    <mergeCell ref="I49:M49"/>
    <mergeCell ref="N49:R49"/>
    <mergeCell ref="S49:S50"/>
    <mergeCell ref="S38:S39"/>
    <mergeCell ref="T38:T39"/>
    <mergeCell ref="U38:U39"/>
    <mergeCell ref="V38:X39"/>
    <mergeCell ref="D38:H38"/>
    <mergeCell ref="I38:M38"/>
    <mergeCell ref="N38:R38"/>
    <mergeCell ref="V25:X25"/>
    <mergeCell ref="D26:H26"/>
    <mergeCell ref="I26:M26"/>
    <mergeCell ref="N26:R26"/>
    <mergeCell ref="S26:S27"/>
    <mergeCell ref="T26:T27"/>
    <mergeCell ref="U26:U27"/>
    <mergeCell ref="V26:V27"/>
    <mergeCell ref="W26:W27"/>
    <mergeCell ref="X26:X27"/>
    <mergeCell ref="X14:X15"/>
    <mergeCell ref="A23:C23"/>
    <mergeCell ref="A25:C27"/>
    <mergeCell ref="D25:R25"/>
    <mergeCell ref="S25:U25"/>
    <mergeCell ref="A28:B34"/>
    <mergeCell ref="A35:C35"/>
    <mergeCell ref="A4:B10"/>
    <mergeCell ref="A12:B12"/>
    <mergeCell ref="A16:B22"/>
    <mergeCell ref="A13:C15"/>
    <mergeCell ref="A37:B38"/>
    <mergeCell ref="B40:B46"/>
    <mergeCell ref="A40:A46"/>
    <mergeCell ref="D2:J2"/>
    <mergeCell ref="K2:Q2"/>
    <mergeCell ref="A3:B3"/>
    <mergeCell ref="D13:R13"/>
    <mergeCell ref="D14:H14"/>
    <mergeCell ref="I14:M14"/>
    <mergeCell ref="N14:R14"/>
    <mergeCell ref="S13:U13"/>
    <mergeCell ref="S14:S15"/>
    <mergeCell ref="T14:T15"/>
    <mergeCell ref="U14:U15"/>
    <mergeCell ref="V13:X13"/>
    <mergeCell ref="V14:V15"/>
    <mergeCell ref="W14:W15"/>
    <mergeCell ref="V41:X41"/>
    <mergeCell ref="V44:X44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11"/>
  <sheetViews>
    <sheetView zoomScale="90" zoomScaleNormal="90" zoomScalePageLayoutView="180" workbookViewId="0">
      <selection activeCell="D20" sqref="D20"/>
    </sheetView>
  </sheetViews>
  <sheetFormatPr defaultColWidth="8.85546875" defaultRowHeight="15"/>
  <cols>
    <col min="1" max="1" width="20.7109375" customWidth="1"/>
    <col min="2" max="2" width="15.140625" customWidth="1"/>
    <col min="3" max="3" width="22.140625" customWidth="1"/>
    <col min="4" max="4" width="26.140625" customWidth="1"/>
    <col min="5" max="5" width="14.5703125" customWidth="1"/>
    <col min="6" max="6" width="26.5703125" customWidth="1"/>
    <col min="7" max="7" width="11.42578125" customWidth="1"/>
    <col min="8" max="8" width="13.42578125" customWidth="1"/>
    <col min="9" max="9" width="10.85546875" customWidth="1"/>
    <col min="10" max="10" width="14.140625" customWidth="1"/>
    <col min="11" max="11" width="12.7109375" customWidth="1"/>
    <col min="12" max="12" width="9.5703125" customWidth="1"/>
    <col min="13" max="13" width="13.7109375" customWidth="1"/>
    <col min="14" max="14" width="14.7109375" customWidth="1"/>
    <col min="15" max="15" width="13.42578125" customWidth="1"/>
    <col min="16" max="18" width="10.85546875" customWidth="1"/>
    <col min="19" max="19" width="11.140625" customWidth="1"/>
    <col min="20" max="20" width="10.42578125" customWidth="1"/>
    <col min="21" max="21" width="11.5703125" customWidth="1"/>
    <col min="22" max="22" width="13.42578125" customWidth="1"/>
    <col min="23" max="23" width="19.42578125" customWidth="1"/>
  </cols>
  <sheetData>
    <row r="1" spans="1:100" ht="30.75" customHeight="1">
      <c r="A1" s="3" t="s">
        <v>29</v>
      </c>
      <c r="B1" s="30" t="s">
        <v>65</v>
      </c>
      <c r="C1" s="4" t="s">
        <v>30</v>
      </c>
      <c r="D1" s="30"/>
      <c r="E1" s="1"/>
      <c r="F1" s="31" t="s">
        <v>23</v>
      </c>
      <c r="G1" s="57" t="s">
        <v>31</v>
      </c>
      <c r="H1" s="58"/>
      <c r="I1" s="58"/>
      <c r="J1" s="59"/>
      <c r="K1" s="52" t="s">
        <v>17</v>
      </c>
      <c r="L1" s="53"/>
      <c r="M1" s="53"/>
      <c r="N1" s="53"/>
      <c r="O1" s="53"/>
      <c r="P1" s="54"/>
      <c r="Q1" s="52" t="s">
        <v>32</v>
      </c>
      <c r="R1" s="53"/>
      <c r="S1" s="53"/>
      <c r="T1" s="53"/>
      <c r="U1" s="53"/>
      <c r="V1" s="54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>
      <c r="A2" s="3" t="s">
        <v>33</v>
      </c>
      <c r="B2" s="39" t="str">
        <f>Cover!D3</f>
        <v>Nhập tên dự án</v>
      </c>
      <c r="C2" s="4" t="s">
        <v>34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35</v>
      </c>
      <c r="P2" s="31" t="s">
        <v>36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37</v>
      </c>
      <c r="V2" s="31" t="s">
        <v>36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>
      <c r="A3" s="3" t="s">
        <v>5</v>
      </c>
      <c r="B3" s="39" t="str">
        <f>Cover!D4</f>
        <v xml:space="preserve">Nhâp tên phase </v>
      </c>
      <c r="C3" s="4" t="s">
        <v>38</v>
      </c>
      <c r="D3" s="32"/>
      <c r="E3" s="1"/>
      <c r="F3" s="109" t="str">
        <f>Report!C4</f>
        <v>EV1</v>
      </c>
      <c r="G3" s="110">
        <f>COUNTIF(G13:G1005,"High")</f>
        <v>1</v>
      </c>
      <c r="H3" s="110">
        <f>COUNTIF(G13:G1005,"Normal")</f>
        <v>1</v>
      </c>
      <c r="I3" s="110">
        <f>COUNTIF(G13:G1005,"Low")</f>
        <v>1</v>
      </c>
      <c r="J3" s="110">
        <f>SUM(G3:I3)</f>
        <v>3</v>
      </c>
      <c r="K3" s="111">
        <f>COUNTIF(I13:I1013,"Pass")</f>
        <v>0</v>
      </c>
      <c r="L3" s="111">
        <f>COUNTIF(I13:I1013,"Fail")</f>
        <v>0</v>
      </c>
      <c r="M3" s="111">
        <f>J3-K3-L3-N3</f>
        <v>3</v>
      </c>
      <c r="N3" s="111">
        <f>COUNTIF(I13:I1013,"Rejected")</f>
        <v>0</v>
      </c>
      <c r="O3" s="112">
        <f>(K3+L3)/(J3-N3)</f>
        <v>0</v>
      </c>
      <c r="P3" s="112">
        <f>K3/(J3-N3)</f>
        <v>0</v>
      </c>
      <c r="Q3" s="111">
        <f>COUNTIF(AE13:AE1012,"Pass")</f>
        <v>0</v>
      </c>
      <c r="R3" s="111">
        <f>COUNTIF(AE13:AE1012,"Fail")</f>
        <v>0</v>
      </c>
      <c r="S3" s="111">
        <f>J3-Q3-R3-T3</f>
        <v>3</v>
      </c>
      <c r="T3" s="111">
        <f>COUNTIF(AE13:AE1012,"Rejected")</f>
        <v>0</v>
      </c>
      <c r="U3" s="112">
        <f>(Q3+R3)/(J3-T3)</f>
        <v>0</v>
      </c>
      <c r="V3" s="112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>
      <c r="A4" s="3"/>
      <c r="B4" s="43"/>
      <c r="C4" s="4"/>
      <c r="D4" s="44"/>
      <c r="E4" s="1"/>
      <c r="F4" s="113" t="str">
        <f>Report!C5</f>
        <v>EV2</v>
      </c>
      <c r="G4" s="114"/>
      <c r="H4" s="114"/>
      <c r="I4" s="114"/>
      <c r="J4" s="114"/>
      <c r="K4" s="115">
        <f>COUNTIF(L13:L1013,"Pass")</f>
        <v>0</v>
      </c>
      <c r="L4" s="115">
        <f>COUNTIF(L13:L1013,"Fail")</f>
        <v>0</v>
      </c>
      <c r="M4" s="115">
        <f>J3-K4-L4-N4</f>
        <v>3</v>
      </c>
      <c r="N4" s="115">
        <f>COUNTIF(L13:L1013,"Rejected")</f>
        <v>0</v>
      </c>
      <c r="O4" s="116">
        <f>(K4+L4)/(J3-N4)</f>
        <v>0</v>
      </c>
      <c r="P4" s="116">
        <f>K4/(J3-N4)</f>
        <v>0</v>
      </c>
      <c r="Q4" s="115">
        <f>COUNTIF(AH13:AH1012,"Pass")</f>
        <v>0</v>
      </c>
      <c r="R4" s="115">
        <f>COUNTIF(AH13:AH1012,"Fail")</f>
        <v>0</v>
      </c>
      <c r="S4" s="115">
        <f>J3-Q4-R4-T4</f>
        <v>3</v>
      </c>
      <c r="T4" s="115">
        <f>COUNTIF(AH13:AH1012,"Rejected")</f>
        <v>0</v>
      </c>
      <c r="U4" s="116">
        <f>(Q4+R4)/(J3-T4)</f>
        <v>0</v>
      </c>
      <c r="V4" s="116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>
      <c r="A5" s="3"/>
      <c r="B5" s="43"/>
      <c r="C5" s="4"/>
      <c r="D5" s="44"/>
      <c r="E5" s="1"/>
      <c r="F5" s="113" t="str">
        <f>Report!C6</f>
        <v>EV3</v>
      </c>
      <c r="G5" s="114"/>
      <c r="H5" s="114"/>
      <c r="I5" s="114"/>
      <c r="J5" s="114"/>
      <c r="K5" s="115">
        <f>COUNTIF(O13:O1013,"Pass")</f>
        <v>0</v>
      </c>
      <c r="L5" s="115">
        <f>COUNTIF(O13:O1013,"Fail")</f>
        <v>0</v>
      </c>
      <c r="M5" s="115">
        <f>J3-K5-L5-N5</f>
        <v>3</v>
      </c>
      <c r="N5" s="115">
        <f>COUNTIF(O13:O1013,"Rejected")</f>
        <v>0</v>
      </c>
      <c r="O5" s="116">
        <f>(K5+L5)/(J3-N5)</f>
        <v>0</v>
      </c>
      <c r="P5" s="116">
        <f>K5/(J3-N5)</f>
        <v>0</v>
      </c>
      <c r="Q5" s="115">
        <f>COUNTIF(AK13:AK1012,"Pass")</f>
        <v>0</v>
      </c>
      <c r="R5" s="115">
        <f>COUNTIF(AK13:AK1012,"Fail")</f>
        <v>0</v>
      </c>
      <c r="S5" s="115">
        <f>J3-Q5-R5-T5</f>
        <v>3</v>
      </c>
      <c r="T5" s="115">
        <f>COUNTIF(AK13:AK1012,"Rejected")</f>
        <v>0</v>
      </c>
      <c r="U5" s="116">
        <f>(Q5+R5)/(J3-T5)</f>
        <v>0</v>
      </c>
      <c r="V5" s="116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100" ht="15.75">
      <c r="A6" s="3"/>
      <c r="B6" s="43"/>
      <c r="C6" s="4"/>
      <c r="D6" s="44"/>
      <c r="E6" s="1"/>
      <c r="F6" s="113" t="str">
        <f>Report!C7</f>
        <v>EV4</v>
      </c>
      <c r="G6" s="114"/>
      <c r="H6" s="114"/>
      <c r="I6" s="114"/>
      <c r="J6" s="114"/>
      <c r="K6" s="115">
        <f>COUNTIF(R13:R1013,"Pass")</f>
        <v>0</v>
      </c>
      <c r="L6" s="115">
        <f>COUNTIF(R13:R1013,"Fail")</f>
        <v>0</v>
      </c>
      <c r="M6" s="115">
        <f>J3-K6-L6-N6</f>
        <v>3</v>
      </c>
      <c r="N6" s="115">
        <f>COUNTIF(R13:R1013,"Rejected")</f>
        <v>0</v>
      </c>
      <c r="O6" s="116">
        <f>(K6+L6)/(J3-N6)</f>
        <v>0</v>
      </c>
      <c r="P6" s="116">
        <f>K6/(J3-N6)</f>
        <v>0</v>
      </c>
      <c r="Q6" s="115">
        <f>COUNTIF(AN13:AN1012,"Pass")</f>
        <v>0</v>
      </c>
      <c r="R6" s="115">
        <f>COUNTIF(AN13:AN1012,"Fail")</f>
        <v>0</v>
      </c>
      <c r="S6" s="115">
        <f>J3-Q6-R6-T6</f>
        <v>3</v>
      </c>
      <c r="T6" s="115">
        <f>COUNTIF(AN13:AN1012,"Rejected")</f>
        <v>0</v>
      </c>
      <c r="U6" s="116">
        <f>(Q6+R6)/(J3-T6)</f>
        <v>0</v>
      </c>
      <c r="V6" s="116">
        <f>Q6/(J3-T6)</f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</row>
    <row r="7" spans="1:100" ht="15.75">
      <c r="A7" s="3"/>
      <c r="B7" s="43"/>
      <c r="C7" s="4"/>
      <c r="D7" s="44"/>
      <c r="E7" s="1"/>
      <c r="F7" s="113" t="str">
        <f>Report!C8</f>
        <v>EV5</v>
      </c>
      <c r="G7" s="114"/>
      <c r="H7" s="114"/>
      <c r="I7" s="114"/>
      <c r="J7" s="114"/>
      <c r="K7" s="115">
        <f>COUNTIF(U13:U1013,"Pass")</f>
        <v>0</v>
      </c>
      <c r="L7" s="115">
        <f>COUNTIF(U13:U1013,"Fail")</f>
        <v>0</v>
      </c>
      <c r="M7" s="115">
        <f>J3-K7-L7-N7</f>
        <v>3</v>
      </c>
      <c r="N7" s="115">
        <f>COUNTIF(U13:U1013,"Rejected")</f>
        <v>0</v>
      </c>
      <c r="O7" s="116">
        <f>(K7+L7)/(J3-N7)</f>
        <v>0</v>
      </c>
      <c r="P7" s="116">
        <f>K7/(J3-N7)</f>
        <v>0</v>
      </c>
      <c r="Q7" s="115">
        <f>COUNTIF(AQ13:AQ1012,"Pass")</f>
        <v>0</v>
      </c>
      <c r="R7" s="115">
        <f>COUNTIF(AQ13:AQ1012,"Fail")</f>
        <v>0</v>
      </c>
      <c r="S7" s="115">
        <f>J3-Q7-R7-T7</f>
        <v>3</v>
      </c>
      <c r="T7" s="115">
        <f>COUNTIF(AQ13:AQ1012,"Rejected")</f>
        <v>0</v>
      </c>
      <c r="U7" s="116">
        <f>(Q7+R7)/(J3-T7)</f>
        <v>0</v>
      </c>
      <c r="V7" s="116">
        <f>Q7/(J3-T7)</f>
        <v>0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</row>
    <row r="8" spans="1:100" ht="15.75">
      <c r="A8" s="3"/>
      <c r="B8" s="43"/>
      <c r="C8" s="4"/>
      <c r="D8" s="44"/>
      <c r="E8" s="1"/>
      <c r="F8" s="113" t="str">
        <f>Report!C9</f>
        <v>EV6</v>
      </c>
      <c r="G8" s="114"/>
      <c r="H8" s="114"/>
      <c r="I8" s="114"/>
      <c r="J8" s="114"/>
      <c r="K8" s="115">
        <f>COUNTIF(X13:X1013,"Pass")</f>
        <v>0</v>
      </c>
      <c r="L8" s="115">
        <f>COUNTIF(X13:X1013,"Fail")</f>
        <v>0</v>
      </c>
      <c r="M8" s="115">
        <f>J3-K8-L8-N8</f>
        <v>3</v>
      </c>
      <c r="N8" s="115">
        <f>COUNTIF(X13:X1013,"Rejected")</f>
        <v>0</v>
      </c>
      <c r="O8" s="116">
        <f>(K8+L8)/(J3-N8)</f>
        <v>0</v>
      </c>
      <c r="P8" s="116">
        <f>K8/(J3-N8)</f>
        <v>0</v>
      </c>
      <c r="Q8" s="115">
        <f>COUNTIF(AT13:AT1012,"Pass")</f>
        <v>0</v>
      </c>
      <c r="R8" s="115">
        <f>COUNTIF(AT13:AT1012,"Fail")</f>
        <v>0</v>
      </c>
      <c r="S8" s="115">
        <f>J3-Q8-R8-T8</f>
        <v>3</v>
      </c>
      <c r="T8" s="115">
        <f>COUNTIF(AT13:AT1012,"Rejected")</f>
        <v>0</v>
      </c>
      <c r="U8" s="116">
        <f>(Q8+R8)/(J3-T8)</f>
        <v>0</v>
      </c>
      <c r="V8" s="116">
        <f>Q8/(J3-T8)</f>
        <v>0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</row>
    <row r="9" spans="1:100" ht="15.75">
      <c r="A9" s="3"/>
      <c r="B9" s="43"/>
      <c r="C9" s="4"/>
      <c r="D9" s="44"/>
      <c r="E9" s="1"/>
      <c r="F9" s="113" t="str">
        <f>Report!C10</f>
        <v>EV7</v>
      </c>
      <c r="G9" s="114"/>
      <c r="H9" s="114"/>
      <c r="I9" s="114"/>
      <c r="J9" s="114"/>
      <c r="K9" s="115">
        <f>COUNTIF(AA13:AA1013,"Pass")</f>
        <v>0</v>
      </c>
      <c r="L9" s="115">
        <f>COUNTIF(AA13:AA1013,"Fail")</f>
        <v>0</v>
      </c>
      <c r="M9" s="115">
        <f>J3-K9-L9-N9</f>
        <v>3</v>
      </c>
      <c r="N9" s="115">
        <f>COUNTIF(AA13:AA1013,"Rejected")</f>
        <v>0</v>
      </c>
      <c r="O9" s="116">
        <f>(K9+L9)/(J3-N9)</f>
        <v>0</v>
      </c>
      <c r="P9" s="116">
        <f>K9/(J3-N9)</f>
        <v>0</v>
      </c>
      <c r="Q9" s="115">
        <f>COUNTIF(AW13:AW1012,"Pass")</f>
        <v>0</v>
      </c>
      <c r="R9" s="115">
        <f>COUNTIF(AW13:AW1012,"Fail")</f>
        <v>0</v>
      </c>
      <c r="S9" s="115">
        <f>J3-Q9-R9-T9</f>
        <v>3</v>
      </c>
      <c r="T9" s="115">
        <f>COUNTIF(AW13:AW1012,"Rejected")</f>
        <v>0</v>
      </c>
      <c r="U9" s="116">
        <f>(Q9+R9)/(J3-T9)</f>
        <v>0</v>
      </c>
      <c r="V9" s="116">
        <f>Q9/(J3-T9)</f>
        <v>0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</row>
    <row r="10" spans="1:100" ht="15.75">
      <c r="A10" s="1"/>
      <c r="B10" s="1"/>
      <c r="C10" s="2"/>
      <c r="D10" s="1"/>
      <c r="E10" s="1"/>
      <c r="F10" s="2"/>
      <c r="G10" s="2"/>
      <c r="H10" s="1"/>
      <c r="I10" s="20"/>
      <c r="J10" s="20"/>
      <c r="K10" s="20"/>
      <c r="L10" s="20"/>
      <c r="M10" s="20"/>
      <c r="N10" s="20"/>
      <c r="O10" s="1"/>
      <c r="P10" s="20"/>
      <c r="Q10" s="20"/>
      <c r="R10" s="20"/>
      <c r="S10" s="20"/>
      <c r="T10" s="20"/>
      <c r="U10" s="20"/>
      <c r="V10" s="1"/>
      <c r="W10" s="18"/>
    </row>
    <row r="11" spans="1:100" ht="15.75" customHeight="1">
      <c r="A11" s="55" t="s">
        <v>39</v>
      </c>
      <c r="B11" s="55" t="s">
        <v>40</v>
      </c>
      <c r="C11" s="55" t="s">
        <v>50</v>
      </c>
      <c r="D11" s="55" t="s">
        <v>41</v>
      </c>
      <c r="E11" s="55" t="s">
        <v>42</v>
      </c>
      <c r="F11" s="55" t="s">
        <v>43</v>
      </c>
      <c r="G11" s="57" t="s">
        <v>44</v>
      </c>
      <c r="H11" s="102" t="s">
        <v>66</v>
      </c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 t="s">
        <v>68</v>
      </c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 t="s">
        <v>28</v>
      </c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</row>
    <row r="12" spans="1:100" ht="15.75">
      <c r="A12" s="56"/>
      <c r="B12" s="56"/>
      <c r="C12" s="56"/>
      <c r="D12" s="56"/>
      <c r="E12" s="56"/>
      <c r="F12" s="56"/>
      <c r="G12" s="57"/>
      <c r="H12" s="46" t="s">
        <v>67</v>
      </c>
      <c r="I12" s="46" t="str">
        <f>Report!C4</f>
        <v>EV1</v>
      </c>
      <c r="J12" s="46" t="s">
        <v>27</v>
      </c>
      <c r="K12" s="46" t="s">
        <v>45</v>
      </c>
      <c r="L12" s="46" t="str">
        <f>Report!C5</f>
        <v>EV2</v>
      </c>
      <c r="M12" s="46" t="s">
        <v>27</v>
      </c>
      <c r="N12" s="46" t="s">
        <v>45</v>
      </c>
      <c r="O12" s="46" t="str">
        <f>Report!C6</f>
        <v>EV3</v>
      </c>
      <c r="P12" s="104" t="s">
        <v>27</v>
      </c>
      <c r="Q12" s="104" t="s">
        <v>45</v>
      </c>
      <c r="R12" s="104" t="str">
        <f>Report!C7</f>
        <v>EV4</v>
      </c>
      <c r="S12" s="104" t="s">
        <v>27</v>
      </c>
      <c r="T12" s="104" t="s">
        <v>45</v>
      </c>
      <c r="U12" s="104" t="str">
        <f>Report!C8</f>
        <v>EV5</v>
      </c>
      <c r="V12" s="104" t="s">
        <v>27</v>
      </c>
      <c r="W12" s="104" t="s">
        <v>45</v>
      </c>
      <c r="X12" s="104" t="str">
        <f>Report!C9</f>
        <v>EV6</v>
      </c>
      <c r="Y12" s="104" t="s">
        <v>27</v>
      </c>
      <c r="Z12" s="104" t="s">
        <v>45</v>
      </c>
      <c r="AA12" s="104" t="str">
        <f>Report!C10</f>
        <v>EV7</v>
      </c>
      <c r="AB12" s="104" t="s">
        <v>27</v>
      </c>
      <c r="AC12" s="104" t="s">
        <v>45</v>
      </c>
      <c r="AD12" s="104" t="s">
        <v>67</v>
      </c>
      <c r="AE12" s="104" t="str">
        <f>Report!C4</f>
        <v>EV1</v>
      </c>
      <c r="AF12" s="104" t="s">
        <v>27</v>
      </c>
      <c r="AG12" s="104" t="s">
        <v>45</v>
      </c>
      <c r="AH12" s="104" t="str">
        <f>Report!C5</f>
        <v>EV2</v>
      </c>
      <c r="AI12" s="104" t="s">
        <v>27</v>
      </c>
      <c r="AJ12" s="104" t="s">
        <v>45</v>
      </c>
      <c r="AK12" s="104" t="str">
        <f>Report!C6</f>
        <v>EV3</v>
      </c>
      <c r="AL12" s="104" t="s">
        <v>27</v>
      </c>
      <c r="AM12" s="104" t="s">
        <v>45</v>
      </c>
      <c r="AN12" s="104" t="str">
        <f>Report!C7</f>
        <v>EV4</v>
      </c>
      <c r="AO12" s="104" t="s">
        <v>27</v>
      </c>
      <c r="AP12" s="104" t="s">
        <v>45</v>
      </c>
      <c r="AQ12" s="104" t="str">
        <f>Report!C8</f>
        <v>EV5</v>
      </c>
      <c r="AR12" s="104" t="s">
        <v>27</v>
      </c>
      <c r="AS12" s="104" t="s">
        <v>45</v>
      </c>
      <c r="AT12" s="104" t="str">
        <f>Report!C9</f>
        <v>EV6</v>
      </c>
      <c r="AU12" s="104" t="s">
        <v>27</v>
      </c>
      <c r="AV12" s="104" t="s">
        <v>45</v>
      </c>
      <c r="AW12" s="104" t="str">
        <f>Report!C10</f>
        <v>EV7</v>
      </c>
      <c r="AX12" s="104" t="s">
        <v>27</v>
      </c>
      <c r="AY12" s="104" t="s">
        <v>45</v>
      </c>
      <c r="AZ12" s="103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</row>
    <row r="13" spans="1:100" ht="204.75">
      <c r="A13" s="33" t="str">
        <f>IF(G13&lt;&gt;"",""&amp;TEXT($B$1,"##")&amp;"-"&amp; (ROW()-5)-COUNTBLANK(G$11:G13),"")</f>
        <v>Module 1-7</v>
      </c>
      <c r="B13" s="33" t="s">
        <v>46</v>
      </c>
      <c r="C13" s="33" t="s">
        <v>47</v>
      </c>
      <c r="D13" s="33" t="s">
        <v>48</v>
      </c>
      <c r="E13" s="34"/>
      <c r="F13" s="34" t="s">
        <v>49</v>
      </c>
      <c r="G13" s="35" t="s">
        <v>24</v>
      </c>
      <c r="H13" s="105"/>
      <c r="I13" s="105"/>
      <c r="J13" s="105"/>
      <c r="K13" s="106"/>
      <c r="L13" s="105"/>
      <c r="M13" s="105"/>
      <c r="N13" s="105"/>
      <c r="O13" s="105"/>
      <c r="P13" s="105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</row>
    <row r="14" spans="1:100" ht="15.75">
      <c r="A14" s="33" t="str">
        <f>IF(G14&lt;&gt;"",""&amp;TEXT($B$1,"##")&amp;"-"&amp; (ROW()-5)-COUNTBLANK(G$11:G14),"")</f>
        <v>Module 1-8</v>
      </c>
      <c r="B14" s="33"/>
      <c r="C14" s="33"/>
      <c r="D14" s="33"/>
      <c r="E14" s="34"/>
      <c r="F14" s="34"/>
      <c r="G14" s="35" t="s">
        <v>25</v>
      </c>
      <c r="H14" s="105"/>
      <c r="I14" s="105"/>
      <c r="J14" s="105"/>
      <c r="K14" s="106"/>
      <c r="L14" s="105"/>
      <c r="M14" s="105"/>
      <c r="N14" s="105"/>
      <c r="O14" s="105"/>
      <c r="P14" s="105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</row>
    <row r="15" spans="1:100" ht="15.75">
      <c r="A15" s="33" t="str">
        <f>IF(G15&lt;&gt;"",""&amp;TEXT($B$1,"##")&amp;"-"&amp; (ROW()-5)-COUNTBLANK(G$11:G15),"")</f>
        <v>Module 1-9</v>
      </c>
      <c r="B15" s="33"/>
      <c r="C15" s="33"/>
      <c r="D15" s="33"/>
      <c r="E15" s="34"/>
      <c r="F15" s="34"/>
      <c r="G15" s="35" t="s">
        <v>26</v>
      </c>
      <c r="H15" s="105"/>
      <c r="I15" s="105"/>
      <c r="J15" s="105"/>
      <c r="K15" s="106"/>
      <c r="L15" s="105"/>
      <c r="M15" s="105"/>
      <c r="N15" s="105"/>
      <c r="O15" s="105"/>
      <c r="P15" s="105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</row>
    <row r="16" spans="1:100" ht="15.75">
      <c r="A16" s="33" t="str">
        <f>IF(G16&lt;&gt;"",""&amp;TEXT($B$1,"##")&amp;"-"&amp; (ROW()-5)-COUNTBLANK(G$11:G16),"")</f>
        <v/>
      </c>
      <c r="B16" s="33"/>
      <c r="C16" s="33"/>
      <c r="E16" s="34"/>
      <c r="F16" s="34"/>
      <c r="G16" s="35"/>
      <c r="H16" s="105"/>
      <c r="I16" s="105"/>
      <c r="J16" s="105"/>
      <c r="K16" s="106"/>
      <c r="L16" s="105"/>
      <c r="M16" s="105"/>
      <c r="N16" s="105"/>
      <c r="O16" s="105"/>
      <c r="P16" s="105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</row>
    <row r="17" spans="1:100" ht="15.75">
      <c r="A17" s="33" t="str">
        <f>IF(G17&lt;&gt;"",""&amp;TEXT($B$1,"##")&amp;"-"&amp; (ROW()-5)-COUNTBLANK(G$11:G17),"")</f>
        <v/>
      </c>
      <c r="B17" s="33"/>
      <c r="C17" s="33"/>
      <c r="D17" s="33"/>
      <c r="E17" s="34"/>
      <c r="F17" s="34"/>
      <c r="G17" s="35"/>
      <c r="H17" s="105"/>
      <c r="I17" s="105"/>
      <c r="J17" s="105"/>
      <c r="K17" s="106"/>
      <c r="L17" s="105"/>
      <c r="M17" s="105"/>
      <c r="N17" s="105"/>
      <c r="O17" s="105"/>
      <c r="P17" s="105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</row>
    <row r="18" spans="1:100" ht="15.75">
      <c r="A18" s="33" t="str">
        <f>IF(G18&lt;&gt;"",""&amp;TEXT($B$1,"##")&amp;"-"&amp; (ROW()-5)-COUNTBLANK(G$11:G18),"")</f>
        <v/>
      </c>
      <c r="B18" s="33"/>
      <c r="C18" s="33"/>
      <c r="D18" s="33"/>
      <c r="E18" s="34"/>
      <c r="F18" s="34"/>
      <c r="G18" s="35"/>
      <c r="H18" s="105"/>
      <c r="I18" s="105"/>
      <c r="J18" s="105"/>
      <c r="K18" s="106"/>
      <c r="L18" s="105"/>
      <c r="M18" s="105"/>
      <c r="N18" s="105"/>
      <c r="O18" s="105"/>
      <c r="P18" s="105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</row>
    <row r="19" spans="1:100" ht="15.75">
      <c r="A19" s="33" t="str">
        <f>IF(G19&lt;&gt;"",""&amp;TEXT($B$1,"##")&amp;"-"&amp; (ROW()-5)-COUNTBLANK(G$11:G19),"")</f>
        <v/>
      </c>
      <c r="B19" s="33"/>
      <c r="C19" s="33"/>
      <c r="D19" s="33"/>
      <c r="E19" s="34"/>
      <c r="F19" s="34"/>
      <c r="G19" s="35"/>
      <c r="H19" s="105"/>
      <c r="I19" s="105"/>
      <c r="J19" s="105"/>
      <c r="K19" s="106"/>
      <c r="L19" s="105"/>
      <c r="M19" s="105"/>
      <c r="N19" s="105"/>
      <c r="O19" s="105"/>
      <c r="P19" s="105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</row>
    <row r="20" spans="1:100" ht="15.75">
      <c r="A20" s="33"/>
      <c r="B20" s="33"/>
      <c r="C20" s="33"/>
      <c r="D20" s="33"/>
      <c r="E20" s="34"/>
      <c r="F20" s="34"/>
      <c r="G20" s="35"/>
      <c r="H20" s="105"/>
      <c r="I20" s="105"/>
      <c r="J20" s="105"/>
      <c r="K20" s="106"/>
      <c r="L20" s="105"/>
      <c r="M20" s="105"/>
      <c r="N20" s="105"/>
      <c r="O20" s="105"/>
      <c r="P20" s="105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</row>
    <row r="21" spans="1:100" ht="15.75">
      <c r="A21" s="33"/>
      <c r="B21" s="33"/>
      <c r="C21" s="33"/>
      <c r="D21" s="33"/>
      <c r="E21" s="34"/>
      <c r="F21" s="34"/>
      <c r="G21" s="35"/>
      <c r="H21" s="105"/>
      <c r="I21" s="105"/>
      <c r="J21" s="105"/>
      <c r="K21" s="106"/>
      <c r="L21" s="105"/>
      <c r="M21" s="105"/>
      <c r="N21" s="105"/>
      <c r="O21" s="105"/>
      <c r="P21" s="105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</row>
    <row r="22" spans="1:100" ht="15.75">
      <c r="A22" s="33"/>
      <c r="B22" s="33"/>
      <c r="C22" s="33"/>
      <c r="D22" s="33"/>
      <c r="E22" s="34"/>
      <c r="F22" s="34"/>
      <c r="G22" s="35"/>
      <c r="H22" s="105"/>
      <c r="I22" s="105"/>
      <c r="J22" s="105"/>
      <c r="K22" s="106"/>
      <c r="L22" s="105"/>
      <c r="M22" s="105"/>
      <c r="N22" s="105"/>
      <c r="O22" s="105"/>
      <c r="P22" s="105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</row>
    <row r="23" spans="1:100" ht="15.75">
      <c r="A23" s="33"/>
      <c r="B23" s="36"/>
      <c r="C23" s="36"/>
      <c r="D23" s="37"/>
      <c r="E23" s="37"/>
      <c r="F23" s="36"/>
      <c r="G23" s="35"/>
      <c r="H23" s="105"/>
      <c r="I23" s="105"/>
      <c r="J23" s="105"/>
      <c r="K23" s="106"/>
      <c r="L23" s="105"/>
      <c r="M23" s="105"/>
      <c r="N23" s="105"/>
      <c r="O23" s="105"/>
      <c r="P23" s="105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</row>
    <row r="24" spans="1:100" ht="15.75">
      <c r="A24" s="33"/>
      <c r="B24" s="36"/>
      <c r="C24" s="36"/>
      <c r="D24" s="36"/>
      <c r="E24" s="36"/>
      <c r="F24" s="36"/>
      <c r="G24" s="35"/>
      <c r="H24" s="105"/>
      <c r="I24" s="105"/>
      <c r="J24" s="105"/>
      <c r="K24" s="106"/>
      <c r="L24" s="105"/>
      <c r="M24" s="105"/>
      <c r="N24" s="105"/>
      <c r="O24" s="105"/>
      <c r="P24" s="105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</row>
    <row r="25" spans="1:100" ht="15.75">
      <c r="A25" s="33"/>
      <c r="B25" s="36"/>
      <c r="C25" s="36"/>
      <c r="D25" s="36"/>
      <c r="E25" s="36"/>
      <c r="F25" s="36"/>
      <c r="G25" s="35"/>
      <c r="H25" s="105"/>
      <c r="I25" s="105"/>
      <c r="J25" s="105"/>
      <c r="K25" s="106"/>
      <c r="L25" s="105"/>
      <c r="M25" s="105"/>
      <c r="N25" s="105"/>
      <c r="O25" s="105"/>
      <c r="P25" s="105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</row>
    <row r="26" spans="1:100" ht="15.75">
      <c r="A26" s="33"/>
      <c r="B26" s="36"/>
      <c r="C26" s="36"/>
      <c r="D26" s="36"/>
      <c r="E26" s="36"/>
      <c r="F26" s="36"/>
      <c r="G26" s="35"/>
      <c r="H26" s="105"/>
      <c r="I26" s="105"/>
      <c r="J26" s="105"/>
      <c r="K26" s="106"/>
      <c r="L26" s="105"/>
      <c r="M26" s="105"/>
      <c r="N26" s="105"/>
      <c r="O26" s="105"/>
      <c r="P26" s="105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</row>
    <row r="27" spans="1:100" ht="15.75">
      <c r="A27" s="33"/>
      <c r="B27" s="36"/>
      <c r="C27" s="36"/>
      <c r="D27" s="36"/>
      <c r="E27" s="36"/>
      <c r="F27" s="36"/>
      <c r="G27" s="35"/>
      <c r="H27" s="105"/>
      <c r="I27" s="105"/>
      <c r="J27" s="105"/>
      <c r="K27" s="106"/>
      <c r="L27" s="105"/>
      <c r="M27" s="105"/>
      <c r="N27" s="105"/>
      <c r="O27" s="105"/>
      <c r="P27" s="105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</row>
    <row r="28" spans="1:100" ht="15.75">
      <c r="A28" s="33"/>
      <c r="B28" s="36"/>
      <c r="C28" s="36"/>
      <c r="D28" s="36"/>
      <c r="E28" s="36"/>
      <c r="F28" s="36"/>
      <c r="G28" s="35"/>
      <c r="H28" s="105"/>
      <c r="I28" s="105"/>
      <c r="J28" s="105"/>
      <c r="K28" s="106"/>
      <c r="L28" s="105"/>
      <c r="M28" s="105"/>
      <c r="N28" s="105"/>
      <c r="O28" s="105"/>
      <c r="P28" s="105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</row>
    <row r="29" spans="1:100" ht="15.75">
      <c r="A29" s="33"/>
      <c r="B29" s="36"/>
      <c r="C29" s="36"/>
      <c r="D29" s="36"/>
      <c r="E29" s="36"/>
      <c r="F29" s="36"/>
      <c r="G29" s="35"/>
      <c r="H29" s="105"/>
      <c r="I29" s="105"/>
      <c r="J29" s="105"/>
      <c r="K29" s="106"/>
      <c r="L29" s="105"/>
      <c r="M29" s="105"/>
      <c r="N29" s="105"/>
      <c r="O29" s="105"/>
      <c r="P29" s="105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</row>
    <row r="30" spans="1:100" ht="15.75">
      <c r="A30" s="33"/>
      <c r="B30" s="36"/>
      <c r="C30" s="36"/>
      <c r="D30" s="36"/>
      <c r="E30" s="36"/>
      <c r="F30" s="36"/>
      <c r="G30" s="35"/>
      <c r="H30" s="105"/>
      <c r="I30" s="105"/>
      <c r="J30" s="105"/>
      <c r="K30" s="106"/>
      <c r="L30" s="105"/>
      <c r="M30" s="105"/>
      <c r="N30" s="105"/>
      <c r="O30" s="105"/>
      <c r="P30" s="105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</row>
    <row r="31" spans="1:100" ht="15.75">
      <c r="A31" s="33"/>
      <c r="B31" s="36"/>
      <c r="C31" s="36"/>
      <c r="D31" s="36"/>
      <c r="E31" s="36"/>
      <c r="F31" s="36"/>
      <c r="G31" s="35"/>
      <c r="H31" s="105"/>
      <c r="I31" s="105"/>
      <c r="J31" s="105"/>
      <c r="K31" s="106"/>
      <c r="L31" s="105"/>
      <c r="M31" s="105"/>
      <c r="N31" s="105"/>
      <c r="O31" s="105"/>
      <c r="P31" s="105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</row>
    <row r="32" spans="1:100" ht="15.75">
      <c r="A32" s="33"/>
      <c r="B32" s="36"/>
      <c r="C32" s="36"/>
      <c r="D32" s="36"/>
      <c r="E32" s="36"/>
      <c r="F32" s="36"/>
      <c r="G32" s="35"/>
      <c r="H32" s="105"/>
      <c r="I32" s="105"/>
      <c r="J32" s="105"/>
      <c r="K32" s="106"/>
      <c r="L32" s="105"/>
      <c r="M32" s="105"/>
      <c r="N32" s="105"/>
      <c r="O32" s="105"/>
      <c r="P32" s="105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</row>
    <row r="33" spans="1:100" ht="15.75">
      <c r="A33" s="33"/>
      <c r="B33" s="36"/>
      <c r="C33" s="36"/>
      <c r="D33" s="36"/>
      <c r="E33" s="36"/>
      <c r="F33" s="36"/>
      <c r="G33" s="35"/>
      <c r="H33" s="105"/>
      <c r="I33" s="105"/>
      <c r="J33" s="105"/>
      <c r="K33" s="106"/>
      <c r="L33" s="105"/>
      <c r="M33" s="105"/>
      <c r="N33" s="105"/>
      <c r="O33" s="105"/>
      <c r="P33" s="105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</row>
    <row r="34" spans="1:100" ht="15.75">
      <c r="A34" s="33"/>
      <c r="B34" s="36"/>
      <c r="C34" s="36"/>
      <c r="D34" s="36"/>
      <c r="E34" s="36"/>
      <c r="F34" s="36"/>
      <c r="G34" s="35"/>
      <c r="H34" s="105"/>
      <c r="I34" s="105"/>
      <c r="J34" s="105"/>
      <c r="K34" s="106"/>
      <c r="L34" s="105"/>
      <c r="M34" s="105"/>
      <c r="N34" s="105"/>
      <c r="O34" s="105"/>
      <c r="P34" s="105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</row>
    <row r="35" spans="1:100" ht="15.75">
      <c r="A35" s="33"/>
      <c r="B35" s="36"/>
      <c r="C35" s="36"/>
      <c r="D35" s="36"/>
      <c r="E35" s="36"/>
      <c r="F35" s="36"/>
      <c r="G35" s="35"/>
      <c r="H35" s="105"/>
      <c r="I35" s="105"/>
      <c r="J35" s="105"/>
      <c r="K35" s="106"/>
      <c r="L35" s="105"/>
      <c r="M35" s="105"/>
      <c r="N35" s="105"/>
      <c r="O35" s="105"/>
      <c r="P35" s="105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</row>
    <row r="36" spans="1:100" ht="15.75">
      <c r="A36" s="33"/>
      <c r="B36" s="36"/>
      <c r="C36" s="36"/>
      <c r="D36" s="36"/>
      <c r="E36" s="36"/>
      <c r="F36" s="36"/>
      <c r="G36" s="35"/>
      <c r="H36" s="105"/>
      <c r="I36" s="105"/>
      <c r="J36" s="105"/>
      <c r="K36" s="106"/>
      <c r="L36" s="105"/>
      <c r="M36" s="105"/>
      <c r="N36" s="105"/>
      <c r="O36" s="105"/>
      <c r="P36" s="105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</row>
    <row r="37" spans="1:100" ht="15.75">
      <c r="A37" s="33"/>
      <c r="B37" s="36"/>
      <c r="C37" s="36"/>
      <c r="D37" s="36"/>
      <c r="E37" s="36"/>
      <c r="F37" s="36"/>
      <c r="G37" s="35"/>
      <c r="H37" s="105"/>
      <c r="I37" s="105"/>
      <c r="J37" s="105"/>
      <c r="K37" s="106"/>
      <c r="L37" s="105"/>
      <c r="M37" s="105"/>
      <c r="N37" s="105"/>
      <c r="O37" s="105"/>
      <c r="P37" s="105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</row>
    <row r="38" spans="1:100" ht="15.75">
      <c r="A38" s="33"/>
      <c r="B38" s="36"/>
      <c r="C38" s="36"/>
      <c r="D38" s="36"/>
      <c r="E38" s="36"/>
      <c r="F38" s="36"/>
      <c r="G38" s="35"/>
      <c r="H38" s="105"/>
      <c r="I38" s="105"/>
      <c r="J38" s="105"/>
      <c r="K38" s="106"/>
      <c r="L38" s="105"/>
      <c r="M38" s="105"/>
      <c r="N38" s="105"/>
      <c r="O38" s="105"/>
      <c r="P38" s="105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</row>
    <row r="39" spans="1:100" ht="15.75">
      <c r="A39" s="33"/>
      <c r="B39" s="36"/>
      <c r="C39" s="36"/>
      <c r="D39" s="36"/>
      <c r="E39" s="36"/>
      <c r="F39" s="36"/>
      <c r="G39" s="35"/>
      <c r="H39" s="105"/>
      <c r="I39" s="105"/>
      <c r="J39" s="105"/>
      <c r="K39" s="106"/>
      <c r="L39" s="105"/>
      <c r="M39" s="105"/>
      <c r="N39" s="105"/>
      <c r="O39" s="105"/>
      <c r="P39" s="105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</row>
    <row r="40" spans="1:100" ht="15.75">
      <c r="A40" s="33"/>
      <c r="B40" s="36"/>
      <c r="C40" s="36"/>
      <c r="D40" s="36"/>
      <c r="E40" s="36"/>
      <c r="F40" s="36"/>
      <c r="G40" s="35"/>
      <c r="H40" s="105"/>
      <c r="I40" s="105"/>
      <c r="J40" s="105"/>
      <c r="K40" s="106"/>
      <c r="L40" s="105"/>
      <c r="M40" s="105"/>
      <c r="N40" s="105"/>
      <c r="O40" s="105"/>
      <c r="P40" s="105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</row>
    <row r="41" spans="1:100" ht="15.75">
      <c r="A41" s="33"/>
      <c r="B41" s="36"/>
      <c r="C41" s="36"/>
      <c r="D41" s="36"/>
      <c r="E41" s="36"/>
      <c r="F41" s="36"/>
      <c r="G41" s="35"/>
      <c r="H41" s="105"/>
      <c r="I41" s="105"/>
      <c r="J41" s="105"/>
      <c r="K41" s="106"/>
      <c r="L41" s="105"/>
      <c r="M41" s="105"/>
      <c r="N41" s="105"/>
      <c r="O41" s="105"/>
      <c r="P41" s="105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</row>
    <row r="42" spans="1:100" ht="15.75">
      <c r="A42" s="33"/>
      <c r="B42" s="36"/>
      <c r="C42" s="36"/>
      <c r="D42" s="36"/>
      <c r="E42" s="36"/>
      <c r="F42" s="36"/>
      <c r="G42" s="35"/>
      <c r="H42" s="105"/>
      <c r="I42" s="105"/>
      <c r="J42" s="105"/>
      <c r="K42" s="106"/>
      <c r="L42" s="105"/>
      <c r="M42" s="105"/>
      <c r="N42" s="105"/>
      <c r="O42" s="105"/>
      <c r="P42" s="105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</row>
    <row r="43" spans="1:100" ht="15.75">
      <c r="A43" s="33"/>
      <c r="B43" s="36"/>
      <c r="C43" s="36"/>
      <c r="D43" s="36"/>
      <c r="E43" s="36"/>
      <c r="F43" s="36"/>
      <c r="G43" s="35"/>
      <c r="H43" s="105"/>
      <c r="I43" s="105"/>
      <c r="J43" s="105"/>
      <c r="K43" s="106"/>
      <c r="L43" s="105"/>
      <c r="M43" s="105"/>
      <c r="N43" s="105"/>
      <c r="O43" s="105"/>
      <c r="P43" s="105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</row>
    <row r="44" spans="1:100" ht="15.75">
      <c r="A44" s="33"/>
      <c r="B44" s="36"/>
      <c r="C44" s="36"/>
      <c r="D44" s="36"/>
      <c r="E44" s="36"/>
      <c r="F44" s="36"/>
      <c r="G44" s="35"/>
      <c r="H44" s="105"/>
      <c r="I44" s="105"/>
      <c r="J44" s="105"/>
      <c r="K44" s="106"/>
      <c r="L44" s="105"/>
      <c r="M44" s="105"/>
      <c r="N44" s="105"/>
      <c r="O44" s="105"/>
      <c r="P44" s="105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</row>
    <row r="45" spans="1:100" ht="15.75">
      <c r="A45" s="33"/>
      <c r="B45" s="36"/>
      <c r="C45" s="36"/>
      <c r="D45" s="36"/>
      <c r="E45" s="36"/>
      <c r="F45" s="36"/>
      <c r="G45" s="35"/>
      <c r="H45" s="105"/>
      <c r="I45" s="105"/>
      <c r="J45" s="105"/>
      <c r="K45" s="106"/>
      <c r="L45" s="105"/>
      <c r="M45" s="105"/>
      <c r="N45" s="105"/>
      <c r="O45" s="105"/>
      <c r="P45" s="105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</row>
    <row r="46" spans="1:100" ht="15.75">
      <c r="A46" s="33"/>
      <c r="B46" s="36"/>
      <c r="C46" s="36"/>
      <c r="D46" s="36"/>
      <c r="E46" s="36"/>
      <c r="F46" s="36"/>
      <c r="G46" s="35"/>
      <c r="H46" s="105"/>
      <c r="I46" s="105"/>
      <c r="J46" s="105"/>
      <c r="K46" s="106"/>
      <c r="L46" s="105"/>
      <c r="M46" s="105"/>
      <c r="N46" s="105"/>
      <c r="O46" s="105"/>
      <c r="P46" s="105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</row>
    <row r="47" spans="1:100" ht="15.75">
      <c r="A47" s="33"/>
      <c r="B47" s="36"/>
      <c r="C47" s="36"/>
      <c r="D47" s="36"/>
      <c r="E47" s="36"/>
      <c r="F47" s="36"/>
      <c r="G47" s="35"/>
      <c r="H47" s="105"/>
      <c r="I47" s="105"/>
      <c r="J47" s="105"/>
      <c r="K47" s="106"/>
      <c r="L47" s="105"/>
      <c r="M47" s="105"/>
      <c r="N47" s="105"/>
      <c r="O47" s="105"/>
      <c r="P47" s="105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  <c r="AZ47" s="107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</row>
    <row r="48" spans="1:100" ht="15.75">
      <c r="A48" s="33"/>
      <c r="B48" s="36"/>
      <c r="C48" s="36"/>
      <c r="D48" s="36"/>
      <c r="E48" s="36"/>
      <c r="F48" s="36"/>
      <c r="G48" s="35"/>
      <c r="H48" s="105"/>
      <c r="I48" s="105"/>
      <c r="J48" s="105"/>
      <c r="K48" s="106"/>
      <c r="L48" s="105"/>
      <c r="M48" s="105"/>
      <c r="N48" s="105"/>
      <c r="O48" s="105"/>
      <c r="P48" s="105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</row>
    <row r="49" spans="1:100" ht="15.75">
      <c r="A49" s="33"/>
      <c r="B49" s="36"/>
      <c r="C49" s="36"/>
      <c r="D49" s="36"/>
      <c r="E49" s="36"/>
      <c r="F49" s="36"/>
      <c r="G49" s="35"/>
      <c r="H49" s="105"/>
      <c r="I49" s="105"/>
      <c r="J49" s="105"/>
      <c r="K49" s="106"/>
      <c r="L49" s="105"/>
      <c r="M49" s="105"/>
      <c r="N49" s="105"/>
      <c r="O49" s="105"/>
      <c r="P49" s="105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  <c r="AZ49" s="107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</row>
    <row r="50" spans="1:100" ht="15.75">
      <c r="A50" s="33"/>
      <c r="B50" s="36"/>
      <c r="C50" s="36"/>
      <c r="D50" s="36"/>
      <c r="E50" s="36"/>
      <c r="F50" s="36"/>
      <c r="G50" s="35"/>
      <c r="H50" s="105"/>
      <c r="I50" s="105"/>
      <c r="J50" s="105"/>
      <c r="K50" s="106"/>
      <c r="L50" s="105"/>
      <c r="M50" s="105"/>
      <c r="N50" s="105"/>
      <c r="O50" s="105"/>
      <c r="P50" s="105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</row>
    <row r="51" spans="1:100" ht="15.75">
      <c r="A51" s="33"/>
      <c r="B51" s="36"/>
      <c r="C51" s="36"/>
      <c r="D51" s="36"/>
      <c r="E51" s="36"/>
      <c r="F51" s="36"/>
      <c r="G51" s="35"/>
      <c r="H51" s="105"/>
      <c r="I51" s="105"/>
      <c r="J51" s="105"/>
      <c r="K51" s="106"/>
      <c r="L51" s="105"/>
      <c r="M51" s="105"/>
      <c r="N51" s="105"/>
      <c r="O51" s="105"/>
      <c r="P51" s="105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  <c r="AZ51" s="107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</row>
    <row r="52" spans="1:100" ht="15.75">
      <c r="A52" s="33"/>
      <c r="B52" s="36"/>
      <c r="C52" s="36"/>
      <c r="D52" s="36"/>
      <c r="E52" s="36"/>
      <c r="F52" s="36"/>
      <c r="G52" s="35"/>
      <c r="H52" s="105"/>
      <c r="I52" s="105"/>
      <c r="J52" s="105"/>
      <c r="K52" s="106"/>
      <c r="L52" s="105"/>
      <c r="M52" s="105"/>
      <c r="N52" s="105"/>
      <c r="O52" s="105"/>
      <c r="P52" s="105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</row>
    <row r="53" spans="1:100" ht="15.75">
      <c r="A53" s="33"/>
      <c r="B53" s="36"/>
      <c r="C53" s="36"/>
      <c r="D53" s="36"/>
      <c r="E53" s="36"/>
      <c r="F53" s="36"/>
      <c r="G53" s="35"/>
      <c r="H53" s="105"/>
      <c r="I53" s="105"/>
      <c r="J53" s="105"/>
      <c r="K53" s="106"/>
      <c r="L53" s="105"/>
      <c r="M53" s="105"/>
      <c r="N53" s="105"/>
      <c r="O53" s="105"/>
      <c r="P53" s="105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</row>
    <row r="54" spans="1:100" ht="15.75">
      <c r="A54" s="33"/>
      <c r="B54" s="36"/>
      <c r="C54" s="36"/>
      <c r="D54" s="36"/>
      <c r="E54" s="36"/>
      <c r="F54" s="36"/>
      <c r="G54" s="35"/>
      <c r="H54" s="105"/>
      <c r="I54" s="105"/>
      <c r="J54" s="105"/>
      <c r="K54" s="106"/>
      <c r="L54" s="105"/>
      <c r="M54" s="105"/>
      <c r="N54" s="105"/>
      <c r="O54" s="105"/>
      <c r="P54" s="105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</row>
    <row r="55" spans="1:100" ht="15.75">
      <c r="A55" s="33"/>
      <c r="B55" s="36"/>
      <c r="C55" s="36"/>
      <c r="D55" s="36"/>
      <c r="E55" s="36"/>
      <c r="F55" s="36"/>
      <c r="G55" s="35"/>
      <c r="H55" s="105"/>
      <c r="I55" s="105"/>
      <c r="J55" s="105"/>
      <c r="K55" s="106"/>
      <c r="L55" s="105"/>
      <c r="M55" s="105"/>
      <c r="N55" s="105"/>
      <c r="O55" s="105"/>
      <c r="P55" s="105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</row>
    <row r="56" spans="1:100" ht="15.75">
      <c r="A56" s="33"/>
      <c r="B56" s="36"/>
      <c r="C56" s="36"/>
      <c r="D56" s="36"/>
      <c r="E56" s="36"/>
      <c r="F56" s="36"/>
      <c r="G56" s="35"/>
      <c r="H56" s="105"/>
      <c r="I56" s="105"/>
      <c r="J56" s="105"/>
      <c r="K56" s="106"/>
      <c r="L56" s="105"/>
      <c r="M56" s="105"/>
      <c r="N56" s="105"/>
      <c r="O56" s="105"/>
      <c r="P56" s="105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</row>
    <row r="57" spans="1:100" ht="15.75">
      <c r="A57" s="33"/>
      <c r="B57" s="36"/>
      <c r="C57" s="36"/>
      <c r="D57" s="36"/>
      <c r="E57" s="36"/>
      <c r="F57" s="36"/>
      <c r="G57" s="35"/>
      <c r="H57" s="105"/>
      <c r="I57" s="105"/>
      <c r="J57" s="105"/>
      <c r="K57" s="106"/>
      <c r="L57" s="105"/>
      <c r="M57" s="105"/>
      <c r="N57" s="105"/>
      <c r="O57" s="105"/>
      <c r="P57" s="105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</row>
    <row r="58" spans="1:100" ht="15.75">
      <c r="A58" s="33"/>
      <c r="B58" s="36"/>
      <c r="C58" s="36"/>
      <c r="D58" s="36"/>
      <c r="E58" s="36"/>
      <c r="F58" s="36"/>
      <c r="G58" s="35"/>
      <c r="H58" s="105"/>
      <c r="I58" s="105"/>
      <c r="J58" s="105"/>
      <c r="K58" s="106"/>
      <c r="L58" s="105"/>
      <c r="M58" s="105"/>
      <c r="N58" s="105"/>
      <c r="O58" s="105"/>
      <c r="P58" s="105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</row>
    <row r="59" spans="1:100" ht="15.75">
      <c r="A59" s="33"/>
      <c r="B59" s="36"/>
      <c r="C59" s="36"/>
      <c r="D59" s="36"/>
      <c r="E59" s="36"/>
      <c r="F59" s="36"/>
      <c r="G59" s="35"/>
      <c r="H59" s="105"/>
      <c r="I59" s="105"/>
      <c r="J59" s="105"/>
      <c r="K59" s="106"/>
      <c r="L59" s="105"/>
      <c r="M59" s="105"/>
      <c r="N59" s="105"/>
      <c r="O59" s="105"/>
      <c r="P59" s="105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</row>
    <row r="60" spans="1:100" ht="15.75">
      <c r="A60" s="33"/>
      <c r="B60" s="36"/>
      <c r="C60" s="36"/>
      <c r="D60" s="36"/>
      <c r="E60" s="36"/>
      <c r="F60" s="36"/>
      <c r="G60" s="35"/>
      <c r="H60" s="105"/>
      <c r="I60" s="105"/>
      <c r="J60" s="105"/>
      <c r="K60" s="106"/>
      <c r="L60" s="105"/>
      <c r="M60" s="105"/>
      <c r="N60" s="105"/>
      <c r="O60" s="105"/>
      <c r="P60" s="105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</row>
    <row r="61" spans="1:100" ht="15.75">
      <c r="A61" s="33"/>
      <c r="B61" s="36"/>
      <c r="C61" s="36"/>
      <c r="D61" s="36"/>
      <c r="E61" s="36"/>
      <c r="F61" s="36"/>
      <c r="G61" s="35"/>
      <c r="H61" s="105"/>
      <c r="I61" s="105"/>
      <c r="J61" s="105"/>
      <c r="K61" s="106"/>
      <c r="L61" s="105"/>
      <c r="M61" s="105"/>
      <c r="N61" s="105"/>
      <c r="O61" s="105"/>
      <c r="P61" s="105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</row>
    <row r="62" spans="1:100" ht="15.75">
      <c r="A62" s="33"/>
      <c r="B62" s="36"/>
      <c r="C62" s="36"/>
      <c r="D62" s="36"/>
      <c r="E62" s="36"/>
      <c r="F62" s="36"/>
      <c r="G62" s="35"/>
      <c r="H62" s="105"/>
      <c r="I62" s="105"/>
      <c r="J62" s="105"/>
      <c r="K62" s="106"/>
      <c r="L62" s="105"/>
      <c r="M62" s="105"/>
      <c r="N62" s="105"/>
      <c r="O62" s="105"/>
      <c r="P62" s="105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</row>
    <row r="63" spans="1:100" ht="15.75">
      <c r="A63" s="33"/>
      <c r="B63" s="36"/>
      <c r="C63" s="36"/>
      <c r="D63" s="36"/>
      <c r="E63" s="36"/>
      <c r="F63" s="36"/>
      <c r="G63" s="35"/>
      <c r="H63" s="105"/>
      <c r="I63" s="105"/>
      <c r="J63" s="105"/>
      <c r="K63" s="106"/>
      <c r="L63" s="105"/>
      <c r="M63" s="105"/>
      <c r="N63" s="105"/>
      <c r="O63" s="105"/>
      <c r="P63" s="105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  <c r="AZ63" s="107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</row>
    <row r="64" spans="1:100" ht="15.75">
      <c r="A64" s="33"/>
      <c r="B64" s="36"/>
      <c r="C64" s="36"/>
      <c r="D64" s="36"/>
      <c r="E64" s="36"/>
      <c r="F64" s="36"/>
      <c r="G64" s="35"/>
      <c r="H64" s="105"/>
      <c r="I64" s="105"/>
      <c r="J64" s="105"/>
      <c r="K64" s="106"/>
      <c r="L64" s="105"/>
      <c r="M64" s="105"/>
      <c r="N64" s="105"/>
      <c r="O64" s="105"/>
      <c r="P64" s="105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7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</row>
    <row r="65" spans="1:100" ht="15.75">
      <c r="A65" s="33"/>
      <c r="B65" s="36"/>
      <c r="C65" s="36"/>
      <c r="D65" s="36"/>
      <c r="E65" s="36"/>
      <c r="F65" s="36"/>
      <c r="G65" s="35"/>
      <c r="H65" s="105"/>
      <c r="I65" s="105"/>
      <c r="J65" s="105"/>
      <c r="K65" s="106"/>
      <c r="L65" s="105"/>
      <c r="M65" s="105"/>
      <c r="N65" s="105"/>
      <c r="O65" s="105"/>
      <c r="P65" s="105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  <c r="AZ65" s="107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</row>
    <row r="66" spans="1:100" ht="15.75">
      <c r="A66" s="33"/>
      <c r="B66" s="36"/>
      <c r="C66" s="36"/>
      <c r="D66" s="36"/>
      <c r="E66" s="36"/>
      <c r="F66" s="36"/>
      <c r="G66" s="35"/>
      <c r="H66" s="105"/>
      <c r="I66" s="105"/>
      <c r="J66" s="105"/>
      <c r="K66" s="106"/>
      <c r="L66" s="105"/>
      <c r="M66" s="105"/>
      <c r="N66" s="105"/>
      <c r="O66" s="105"/>
      <c r="P66" s="105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  <c r="AZ66" s="107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</row>
    <row r="67" spans="1:100" ht="15.75">
      <c r="A67" s="33"/>
      <c r="B67" s="36"/>
      <c r="C67" s="36"/>
      <c r="D67" s="36"/>
      <c r="E67" s="36"/>
      <c r="F67" s="36"/>
      <c r="G67" s="35"/>
      <c r="H67" s="105"/>
      <c r="I67" s="105"/>
      <c r="J67" s="105"/>
      <c r="K67" s="106"/>
      <c r="L67" s="105"/>
      <c r="M67" s="105"/>
      <c r="N67" s="105"/>
      <c r="O67" s="105"/>
      <c r="P67" s="105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  <c r="AY67" s="107"/>
      <c r="AZ67" s="107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</row>
    <row r="68" spans="1:100" ht="15.75">
      <c r="A68" s="33"/>
      <c r="B68" s="36"/>
      <c r="C68" s="36"/>
      <c r="D68" s="36"/>
      <c r="E68" s="36"/>
      <c r="F68" s="36"/>
      <c r="G68" s="35"/>
      <c r="H68" s="105"/>
      <c r="I68" s="105"/>
      <c r="J68" s="105"/>
      <c r="K68" s="106"/>
      <c r="L68" s="105"/>
      <c r="M68" s="105"/>
      <c r="N68" s="105"/>
      <c r="O68" s="105"/>
      <c r="P68" s="105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7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</row>
    <row r="69" spans="1:100" ht="15.75">
      <c r="A69" s="33"/>
      <c r="B69" s="36"/>
      <c r="C69" s="36"/>
      <c r="D69" s="36"/>
      <c r="E69" s="36"/>
      <c r="F69" s="36"/>
      <c r="G69" s="35"/>
      <c r="H69" s="105"/>
      <c r="I69" s="105"/>
      <c r="J69" s="105"/>
      <c r="K69" s="106"/>
      <c r="L69" s="105"/>
      <c r="M69" s="105"/>
      <c r="N69" s="105"/>
      <c r="O69" s="105"/>
      <c r="P69" s="105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  <c r="AZ69" s="107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</row>
    <row r="70" spans="1:100" ht="15.75">
      <c r="A70" s="33"/>
      <c r="B70" s="36"/>
      <c r="C70" s="36"/>
      <c r="D70" s="36"/>
      <c r="E70" s="36"/>
      <c r="F70" s="36"/>
      <c r="G70" s="35"/>
      <c r="H70" s="105"/>
      <c r="I70" s="105"/>
      <c r="J70" s="105"/>
      <c r="K70" s="106"/>
      <c r="L70" s="105"/>
      <c r="M70" s="105"/>
      <c r="N70" s="105"/>
      <c r="O70" s="105"/>
      <c r="P70" s="105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</row>
    <row r="71" spans="1:100" ht="15.75">
      <c r="A71" s="33"/>
      <c r="B71" s="36"/>
      <c r="C71" s="36"/>
      <c r="D71" s="36"/>
      <c r="E71" s="36"/>
      <c r="F71" s="36"/>
      <c r="G71" s="35"/>
      <c r="H71" s="105"/>
      <c r="I71" s="105"/>
      <c r="J71" s="105"/>
      <c r="K71" s="106"/>
      <c r="L71" s="105"/>
      <c r="M71" s="105"/>
      <c r="N71" s="105"/>
      <c r="O71" s="105"/>
      <c r="P71" s="105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  <c r="AZ71" s="107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</row>
    <row r="72" spans="1:100" ht="15.75">
      <c r="A72" s="33"/>
      <c r="B72" s="36"/>
      <c r="C72" s="36"/>
      <c r="D72" s="36"/>
      <c r="E72" s="36"/>
      <c r="F72" s="36"/>
      <c r="G72" s="35"/>
      <c r="H72" s="105"/>
      <c r="I72" s="105"/>
      <c r="J72" s="105"/>
      <c r="K72" s="106"/>
      <c r="L72" s="105"/>
      <c r="M72" s="105"/>
      <c r="N72" s="105"/>
      <c r="O72" s="105"/>
      <c r="P72" s="105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</row>
    <row r="73" spans="1:100" ht="15.75">
      <c r="A73" s="33"/>
      <c r="B73" s="36"/>
      <c r="C73" s="36"/>
      <c r="D73" s="36"/>
      <c r="E73" s="36"/>
      <c r="F73" s="36"/>
      <c r="G73" s="35"/>
      <c r="H73" s="105"/>
      <c r="I73" s="105"/>
      <c r="J73" s="105"/>
      <c r="K73" s="106"/>
      <c r="L73" s="105"/>
      <c r="M73" s="105"/>
      <c r="N73" s="105"/>
      <c r="O73" s="105"/>
      <c r="P73" s="105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  <c r="AZ73" s="107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</row>
    <row r="74" spans="1:100" ht="15.75">
      <c r="A74" s="33"/>
      <c r="B74" s="36"/>
      <c r="C74" s="36"/>
      <c r="D74" s="36"/>
      <c r="E74" s="36"/>
      <c r="F74" s="36"/>
      <c r="G74" s="35"/>
      <c r="H74" s="105"/>
      <c r="I74" s="105"/>
      <c r="J74" s="105"/>
      <c r="K74" s="106"/>
      <c r="L74" s="105"/>
      <c r="M74" s="105"/>
      <c r="N74" s="105"/>
      <c r="O74" s="105"/>
      <c r="P74" s="105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107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</row>
    <row r="75" spans="1:100" ht="15.75">
      <c r="A75" s="33"/>
      <c r="B75" s="36"/>
      <c r="C75" s="36"/>
      <c r="D75" s="36"/>
      <c r="E75" s="36"/>
      <c r="F75" s="36"/>
      <c r="G75" s="35"/>
      <c r="H75" s="105"/>
      <c r="I75" s="105"/>
      <c r="J75" s="105"/>
      <c r="K75" s="106"/>
      <c r="L75" s="105"/>
      <c r="M75" s="105"/>
      <c r="N75" s="105"/>
      <c r="O75" s="105"/>
      <c r="P75" s="105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  <c r="AZ75" s="107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</row>
    <row r="76" spans="1:100" ht="15.75">
      <c r="A76" s="33"/>
      <c r="B76" s="36"/>
      <c r="C76" s="36"/>
      <c r="D76" s="36"/>
      <c r="E76" s="36"/>
      <c r="F76" s="36"/>
      <c r="G76" s="35"/>
      <c r="H76" s="105"/>
      <c r="I76" s="105"/>
      <c r="J76" s="105"/>
      <c r="K76" s="106"/>
      <c r="L76" s="105"/>
      <c r="M76" s="105"/>
      <c r="N76" s="105"/>
      <c r="O76" s="105"/>
      <c r="P76" s="105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  <c r="AZ76" s="107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</row>
    <row r="77" spans="1:100" ht="15.75">
      <c r="A77" s="33"/>
      <c r="B77" s="36"/>
      <c r="C77" s="36"/>
      <c r="D77" s="36"/>
      <c r="E77" s="36"/>
      <c r="F77" s="36"/>
      <c r="G77" s="35"/>
      <c r="H77" s="105"/>
      <c r="I77" s="105"/>
      <c r="J77" s="105"/>
      <c r="K77" s="106"/>
      <c r="L77" s="105"/>
      <c r="M77" s="105"/>
      <c r="N77" s="105"/>
      <c r="O77" s="105"/>
      <c r="P77" s="105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  <c r="AY77" s="107"/>
      <c r="AZ77" s="107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</row>
    <row r="78" spans="1:100" ht="15.75">
      <c r="A78" s="33"/>
      <c r="B78" s="36"/>
      <c r="C78" s="36"/>
      <c r="D78" s="36"/>
      <c r="E78" s="36"/>
      <c r="F78" s="36"/>
      <c r="G78" s="35"/>
      <c r="H78" s="105"/>
      <c r="I78" s="105"/>
      <c r="J78" s="105"/>
      <c r="K78" s="106"/>
      <c r="L78" s="105"/>
      <c r="M78" s="105"/>
      <c r="N78" s="105"/>
      <c r="O78" s="105"/>
      <c r="P78" s="105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  <c r="AZ78" s="107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</row>
    <row r="79" spans="1:100" ht="15.75">
      <c r="A79" s="33"/>
      <c r="B79" s="36"/>
      <c r="C79" s="36"/>
      <c r="D79" s="36"/>
      <c r="E79" s="36"/>
      <c r="F79" s="36"/>
      <c r="G79" s="35"/>
      <c r="H79" s="105"/>
      <c r="I79" s="105"/>
      <c r="J79" s="105"/>
      <c r="K79" s="106"/>
      <c r="L79" s="105"/>
      <c r="M79" s="105"/>
      <c r="N79" s="105"/>
      <c r="O79" s="105"/>
      <c r="P79" s="105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  <c r="AZ79" s="107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</row>
    <row r="80" spans="1:100" ht="15.75">
      <c r="A80" s="33"/>
      <c r="B80" s="36"/>
      <c r="C80" s="36"/>
      <c r="D80" s="36"/>
      <c r="E80" s="36"/>
      <c r="F80" s="36"/>
      <c r="G80" s="35"/>
      <c r="H80" s="105"/>
      <c r="I80" s="105"/>
      <c r="J80" s="105"/>
      <c r="K80" s="106"/>
      <c r="L80" s="105"/>
      <c r="M80" s="105"/>
      <c r="N80" s="105"/>
      <c r="O80" s="105"/>
      <c r="P80" s="105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</row>
    <row r="81" spans="1:100" ht="15.75">
      <c r="A81" s="33"/>
      <c r="B81" s="36"/>
      <c r="C81" s="36"/>
      <c r="D81" s="36"/>
      <c r="E81" s="36"/>
      <c r="F81" s="36"/>
      <c r="G81" s="35"/>
      <c r="H81" s="105"/>
      <c r="I81" s="105"/>
      <c r="J81" s="105"/>
      <c r="K81" s="106"/>
      <c r="L81" s="105"/>
      <c r="M81" s="105"/>
      <c r="N81" s="105"/>
      <c r="O81" s="105"/>
      <c r="P81" s="105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  <c r="AZ81" s="107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</row>
    <row r="82" spans="1:100" ht="15.75">
      <c r="A82" s="33"/>
      <c r="B82" s="36"/>
      <c r="C82" s="36"/>
      <c r="D82" s="36"/>
      <c r="E82" s="36"/>
      <c r="F82" s="36"/>
      <c r="G82" s="35"/>
      <c r="H82" s="105"/>
      <c r="I82" s="105"/>
      <c r="J82" s="105"/>
      <c r="K82" s="106"/>
      <c r="L82" s="105"/>
      <c r="M82" s="105"/>
      <c r="N82" s="105"/>
      <c r="O82" s="105"/>
      <c r="P82" s="105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  <c r="AZ82" s="107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</row>
    <row r="83" spans="1:100" ht="15.75">
      <c r="A83" s="33"/>
      <c r="B83" s="36"/>
      <c r="C83" s="36"/>
      <c r="D83" s="36"/>
      <c r="E83" s="36"/>
      <c r="F83" s="36"/>
      <c r="G83" s="35"/>
      <c r="H83" s="105"/>
      <c r="I83" s="105"/>
      <c r="J83" s="105"/>
      <c r="K83" s="106"/>
      <c r="L83" s="105"/>
      <c r="M83" s="105"/>
      <c r="N83" s="105"/>
      <c r="O83" s="105"/>
      <c r="P83" s="105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</row>
    <row r="84" spans="1:100" ht="15.75">
      <c r="A84" s="33"/>
      <c r="B84" s="36"/>
      <c r="C84" s="36"/>
      <c r="D84" s="36"/>
      <c r="E84" s="36"/>
      <c r="F84" s="36"/>
      <c r="G84" s="35"/>
      <c r="H84" s="105"/>
      <c r="I84" s="105"/>
      <c r="J84" s="105"/>
      <c r="K84" s="106"/>
      <c r="L84" s="105"/>
      <c r="M84" s="105"/>
      <c r="N84" s="105"/>
      <c r="O84" s="105"/>
      <c r="P84" s="105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  <c r="AZ84" s="107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</row>
    <row r="85" spans="1:100" ht="15.75">
      <c r="A85" s="33"/>
      <c r="B85" s="36"/>
      <c r="C85" s="36"/>
      <c r="D85" s="36"/>
      <c r="E85" s="36"/>
      <c r="F85" s="36"/>
      <c r="G85" s="35"/>
      <c r="H85" s="105"/>
      <c r="I85" s="105"/>
      <c r="J85" s="105"/>
      <c r="K85" s="106"/>
      <c r="L85" s="105"/>
      <c r="M85" s="105"/>
      <c r="N85" s="105"/>
      <c r="O85" s="105"/>
      <c r="P85" s="105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  <c r="AY85" s="107"/>
      <c r="AZ85" s="107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</row>
    <row r="86" spans="1:100" ht="15.75">
      <c r="A86" s="33"/>
      <c r="B86" s="36"/>
      <c r="C86" s="36"/>
      <c r="D86" s="36"/>
      <c r="E86" s="36"/>
      <c r="F86" s="36"/>
      <c r="G86" s="35"/>
      <c r="H86" s="105"/>
      <c r="I86" s="105"/>
      <c r="J86" s="105"/>
      <c r="K86" s="106"/>
      <c r="L86" s="105"/>
      <c r="M86" s="105"/>
      <c r="N86" s="105"/>
      <c r="O86" s="105"/>
      <c r="P86" s="105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  <c r="AZ86" s="107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</row>
    <row r="87" spans="1:100" ht="15.75">
      <c r="A87" s="33"/>
      <c r="B87" s="36"/>
      <c r="C87" s="36"/>
      <c r="D87" s="36"/>
      <c r="E87" s="36"/>
      <c r="F87" s="36"/>
      <c r="G87" s="35"/>
      <c r="H87" s="105"/>
      <c r="I87" s="105"/>
      <c r="J87" s="105"/>
      <c r="K87" s="106"/>
      <c r="L87" s="105"/>
      <c r="M87" s="105"/>
      <c r="N87" s="105"/>
      <c r="O87" s="105"/>
      <c r="P87" s="105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  <c r="AY87" s="107"/>
      <c r="AZ87" s="107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</row>
    <row r="88" spans="1:100" ht="15.75">
      <c r="A88" s="33"/>
      <c r="B88" s="36"/>
      <c r="C88" s="36"/>
      <c r="D88" s="36"/>
      <c r="E88" s="36"/>
      <c r="F88" s="36"/>
      <c r="G88" s="35"/>
      <c r="H88" s="105"/>
      <c r="I88" s="105"/>
      <c r="J88" s="105"/>
      <c r="K88" s="106"/>
      <c r="L88" s="105"/>
      <c r="M88" s="105"/>
      <c r="N88" s="105"/>
      <c r="O88" s="105"/>
      <c r="P88" s="105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  <c r="AZ88" s="107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</row>
    <row r="89" spans="1:100" ht="15.75">
      <c r="A89" s="33"/>
      <c r="B89" s="36"/>
      <c r="C89" s="36"/>
      <c r="D89" s="36"/>
      <c r="E89" s="36"/>
      <c r="F89" s="36"/>
      <c r="G89" s="35"/>
      <c r="H89" s="105"/>
      <c r="I89" s="105"/>
      <c r="J89" s="105"/>
      <c r="K89" s="106"/>
      <c r="L89" s="105"/>
      <c r="M89" s="105"/>
      <c r="N89" s="105"/>
      <c r="O89" s="105"/>
      <c r="P89" s="105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  <c r="AY89" s="107"/>
      <c r="AZ89" s="107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</row>
    <row r="90" spans="1:100" ht="15.75">
      <c r="A90" s="33"/>
      <c r="B90" s="36"/>
      <c r="C90" s="36"/>
      <c r="D90" s="36"/>
      <c r="E90" s="36"/>
      <c r="F90" s="36"/>
      <c r="G90" s="35"/>
      <c r="H90" s="105"/>
      <c r="I90" s="105"/>
      <c r="J90" s="105"/>
      <c r="K90" s="106"/>
      <c r="L90" s="105"/>
      <c r="M90" s="105"/>
      <c r="N90" s="105"/>
      <c r="O90" s="105"/>
      <c r="P90" s="105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</row>
    <row r="91" spans="1:100" ht="15.75">
      <c r="A91" s="33"/>
      <c r="B91" s="36"/>
      <c r="C91" s="36"/>
      <c r="D91" s="36"/>
      <c r="E91" s="36"/>
      <c r="F91" s="36"/>
      <c r="G91" s="35"/>
      <c r="H91" s="105"/>
      <c r="I91" s="105"/>
      <c r="J91" s="105"/>
      <c r="K91" s="106"/>
      <c r="L91" s="105"/>
      <c r="M91" s="105"/>
      <c r="N91" s="105"/>
      <c r="O91" s="105"/>
      <c r="P91" s="105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  <c r="AY91" s="107"/>
      <c r="AZ91" s="107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</row>
    <row r="92" spans="1:100" ht="15.75">
      <c r="A92" s="33"/>
      <c r="B92" s="36"/>
      <c r="C92" s="36"/>
      <c r="D92" s="36"/>
      <c r="E92" s="36"/>
      <c r="F92" s="36"/>
      <c r="G92" s="35"/>
      <c r="H92" s="105"/>
      <c r="I92" s="105"/>
      <c r="J92" s="105"/>
      <c r="K92" s="106"/>
      <c r="L92" s="105"/>
      <c r="M92" s="105"/>
      <c r="N92" s="105"/>
      <c r="O92" s="105"/>
      <c r="P92" s="105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  <c r="AY92" s="107"/>
      <c r="AZ92" s="107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</row>
    <row r="93" spans="1:100" ht="15.75">
      <c r="A93" s="33"/>
      <c r="B93" s="36"/>
      <c r="C93" s="36"/>
      <c r="D93" s="36"/>
      <c r="E93" s="36"/>
      <c r="F93" s="36"/>
      <c r="G93" s="35"/>
      <c r="H93" s="105"/>
      <c r="I93" s="105"/>
      <c r="J93" s="105"/>
      <c r="K93" s="106"/>
      <c r="L93" s="105"/>
      <c r="M93" s="105"/>
      <c r="N93" s="105"/>
      <c r="O93" s="105"/>
      <c r="P93" s="105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  <c r="AY93" s="107"/>
      <c r="AZ93" s="107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</row>
    <row r="94" spans="1:100" ht="15.75">
      <c r="A94" s="33"/>
      <c r="B94" s="36"/>
      <c r="C94" s="36"/>
      <c r="D94" s="36"/>
      <c r="E94" s="36"/>
      <c r="F94" s="36"/>
      <c r="G94" s="35"/>
      <c r="H94" s="105"/>
      <c r="I94" s="105"/>
      <c r="J94" s="105"/>
      <c r="K94" s="106"/>
      <c r="L94" s="105"/>
      <c r="M94" s="105"/>
      <c r="N94" s="105"/>
      <c r="O94" s="105"/>
      <c r="P94" s="105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  <c r="AY94" s="107"/>
      <c r="AZ94" s="107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</row>
    <row r="95" spans="1:100" ht="15.75">
      <c r="A95" s="33"/>
      <c r="B95" s="36"/>
      <c r="C95" s="36"/>
      <c r="D95" s="36"/>
      <c r="E95" s="36"/>
      <c r="F95" s="36"/>
      <c r="G95" s="35"/>
      <c r="H95" s="105"/>
      <c r="I95" s="105"/>
      <c r="J95" s="105"/>
      <c r="K95" s="106"/>
      <c r="L95" s="105"/>
      <c r="M95" s="105"/>
      <c r="N95" s="105"/>
      <c r="O95" s="105"/>
      <c r="P95" s="105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/>
      <c r="AY95" s="107"/>
      <c r="AZ95" s="107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</row>
    <row r="96" spans="1:100" ht="15.75">
      <c r="A96" s="33"/>
      <c r="B96" s="36"/>
      <c r="C96" s="36"/>
      <c r="D96" s="36"/>
      <c r="E96" s="36"/>
      <c r="F96" s="36"/>
      <c r="G96" s="35"/>
      <c r="H96" s="105"/>
      <c r="I96" s="105"/>
      <c r="J96" s="105"/>
      <c r="K96" s="106"/>
      <c r="L96" s="105"/>
      <c r="M96" s="105"/>
      <c r="N96" s="105"/>
      <c r="O96" s="105"/>
      <c r="P96" s="105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  <c r="AY96" s="107"/>
      <c r="AZ96" s="107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</row>
    <row r="97" spans="1:100" ht="15.75">
      <c r="A97" s="33"/>
      <c r="B97" s="36"/>
      <c r="C97" s="36"/>
      <c r="D97" s="36"/>
      <c r="E97" s="36"/>
      <c r="F97" s="36"/>
      <c r="G97" s="35"/>
      <c r="H97" s="105"/>
      <c r="I97" s="105"/>
      <c r="J97" s="105"/>
      <c r="K97" s="106"/>
      <c r="L97" s="105"/>
      <c r="M97" s="105"/>
      <c r="N97" s="105"/>
      <c r="O97" s="105"/>
      <c r="P97" s="105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  <c r="AY97" s="107"/>
      <c r="AZ97" s="107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</row>
    <row r="98" spans="1:100" ht="15.75">
      <c r="A98" s="33"/>
      <c r="B98" s="36"/>
      <c r="C98" s="36"/>
      <c r="D98" s="36"/>
      <c r="E98" s="36"/>
      <c r="F98" s="36"/>
      <c r="G98" s="35"/>
      <c r="H98" s="105"/>
      <c r="I98" s="105"/>
      <c r="J98" s="105"/>
      <c r="K98" s="106"/>
      <c r="L98" s="105"/>
      <c r="M98" s="105"/>
      <c r="N98" s="105"/>
      <c r="O98" s="105"/>
      <c r="P98" s="105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  <c r="AY98" s="107"/>
      <c r="AZ98" s="107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</row>
    <row r="99" spans="1:100" ht="15.75">
      <c r="A99" s="33"/>
      <c r="B99" s="36"/>
      <c r="C99" s="36"/>
      <c r="D99" s="36"/>
      <c r="E99" s="36"/>
      <c r="F99" s="36"/>
      <c r="G99" s="35"/>
      <c r="H99" s="105"/>
      <c r="I99" s="105"/>
      <c r="J99" s="105"/>
      <c r="K99" s="105"/>
      <c r="L99" s="105"/>
      <c r="M99" s="105"/>
      <c r="N99" s="105"/>
      <c r="O99" s="105"/>
      <c r="P99" s="105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  <c r="AY99" s="107"/>
      <c r="AZ99" s="107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</row>
    <row r="100" spans="1:100"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  <c r="AY100" s="107"/>
      <c r="AZ100" s="107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</row>
    <row r="101" spans="1:100"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X101" s="107"/>
      <c r="AY101" s="107"/>
      <c r="AZ101" s="107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</row>
    <row r="102" spans="1:100"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  <c r="AY102" s="107"/>
      <c r="AZ102" s="107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</row>
    <row r="103" spans="1:100"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X103" s="107"/>
      <c r="AY103" s="107"/>
      <c r="AZ103" s="107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</row>
    <row r="104" spans="1:100"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  <c r="AY104" s="107"/>
      <c r="AZ104" s="107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</row>
    <row r="105" spans="1:100"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  <c r="AY105" s="107"/>
      <c r="AZ105" s="107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</row>
    <row r="106" spans="1:100"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  <c r="AY106" s="107"/>
      <c r="AZ106" s="107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</row>
    <row r="107" spans="1:100"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X107" s="107"/>
      <c r="AY107" s="107"/>
      <c r="AZ107" s="107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</row>
    <row r="108" spans="1:100"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</row>
    <row r="109" spans="1:100"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  <c r="AY109" s="107"/>
      <c r="AZ109" s="107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</row>
    <row r="110" spans="1:100"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  <c r="AY110" s="107"/>
      <c r="AZ110" s="107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</row>
    <row r="111" spans="1:100"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X111" s="107"/>
      <c r="AY111" s="107"/>
      <c r="AZ111" s="107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</row>
  </sheetData>
  <mergeCells count="17">
    <mergeCell ref="AD11:AY11"/>
    <mergeCell ref="AZ11:AZ12"/>
    <mergeCell ref="K1:P1"/>
    <mergeCell ref="Q1:V1"/>
    <mergeCell ref="A11:A12"/>
    <mergeCell ref="B11:B12"/>
    <mergeCell ref="C11:C12"/>
    <mergeCell ref="D11:D12"/>
    <mergeCell ref="E11:E12"/>
    <mergeCell ref="F11:F12"/>
    <mergeCell ref="G11:G12"/>
    <mergeCell ref="G1:J1"/>
    <mergeCell ref="G3:G9"/>
    <mergeCell ref="H3:H9"/>
    <mergeCell ref="I3:I9"/>
    <mergeCell ref="J3:J9"/>
    <mergeCell ref="H11:AC11"/>
  </mergeCells>
  <phoneticPr fontId="12"/>
  <conditionalFormatting sqref="S100:S1005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4:P1005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21:L1000">
    <cfRule type="expression" dxfId="7" priority="7" stopIfTrue="1">
      <formula>INDIRECT("L"&amp;ROW())="Fail"</formula>
    </cfRule>
  </conditionalFormatting>
  <conditionalFormatting sqref="G13:G1000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13:I1005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13:L1005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4:N99 J38:J99 K99" xr:uid="{63BF5A5E-1CBE-48A3-99F8-277D0089275B}">
      <formula1>$F$2:$I$2</formula1>
    </dataValidation>
    <dataValidation type="list" allowBlank="1" showInputMessage="1" showErrorMessage="1" sqref="L13:L99 P14:P99 I13:I99" xr:uid="{9080B43F-3C5A-4367-BF09-34E2177FF6C7}">
      <formula1>$K$2:$N$2</formula1>
    </dataValidation>
    <dataValidation type="list" allowBlank="1" showInputMessage="1" showErrorMessage="1" sqref="G13:G99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AFF7A5-F3C1-400A-A7C8-AA75592902F2}">
  <ds:schemaRefs>
    <ds:schemaRef ds:uri="http://www.w3.org/XML/1998/namespace"/>
    <ds:schemaRef ds:uri="http://schemas.microsoft.com/office/infopath/2007/PartnerControls"/>
    <ds:schemaRef ds:uri="38c55fcc-c670-4ac4-8a9b-264c271983b2"/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a1ab6f7-2cdf-4ac6-8d0c-935587abd710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2025-10-03T08:17:15Z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