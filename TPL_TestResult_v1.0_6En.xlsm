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create-testcase\"/>
    </mc:Choice>
  </mc:AlternateContent>
  <xr:revisionPtr revIDLastSave="0" documentId="8_{E284460B-E862-4D27-B6EC-ABD289096C33}" xr6:coauthVersionLast="36" xr6:coauthVersionMax="36" xr10:uidLastSave="{00000000-0000-0000-0000-000000000000}"/>
  <bookViews>
    <workbookView xWindow="28680" yWindow="-120" windowWidth="29040" windowHeight="15840" tabRatio="732" activeTab="1" xr2:uid="{00000000-000D-0000-FFFF-FFFF00000000}"/>
  </bookViews>
  <sheets>
    <sheet name="Cover" sheetId="1" r:id="rId1"/>
    <sheet name="Report" sheetId="20" r:id="rId2"/>
    <sheet name="Module 1" sheetId="66" r:id="rId3"/>
  </sheets>
  <functionGroups builtInGroupCount="19"/>
  <calcPr calcId="191029"/>
</workbook>
</file>

<file path=xl/calcChain.xml><?xml version="1.0" encoding="utf-8"?>
<calcChain xmlns="http://schemas.openxmlformats.org/spreadsheetml/2006/main">
  <c r="U52" i="20" l="1"/>
  <c r="T52" i="20"/>
  <c r="S52" i="20"/>
  <c r="R52" i="20"/>
  <c r="Q52" i="20"/>
  <c r="P52" i="20"/>
  <c r="O52" i="20"/>
  <c r="N52" i="20"/>
  <c r="M52" i="20"/>
  <c r="L52" i="20"/>
  <c r="K52" i="20"/>
  <c r="J52" i="20"/>
  <c r="I52" i="20"/>
  <c r="H52" i="20"/>
  <c r="G52" i="20"/>
  <c r="F52" i="20"/>
  <c r="E52" i="20"/>
  <c r="D52" i="20"/>
  <c r="U42" i="20"/>
  <c r="T42" i="20"/>
  <c r="S42" i="20"/>
  <c r="R42" i="20"/>
  <c r="Q42" i="20"/>
  <c r="P42" i="20"/>
  <c r="O42" i="20"/>
  <c r="N42" i="20"/>
  <c r="M42" i="20"/>
  <c r="L42" i="20"/>
  <c r="K42" i="20"/>
  <c r="J42" i="20"/>
  <c r="I42" i="20"/>
  <c r="H42" i="20"/>
  <c r="G42" i="20"/>
  <c r="F42" i="20"/>
  <c r="E42" i="20"/>
  <c r="D42" i="20"/>
  <c r="U51" i="20"/>
  <c r="T51" i="20"/>
  <c r="S51" i="20"/>
  <c r="R51" i="20"/>
  <c r="Q51" i="20"/>
  <c r="P51" i="20"/>
  <c r="O51" i="20"/>
  <c r="N51" i="20"/>
  <c r="M51" i="20"/>
  <c r="L51" i="20"/>
  <c r="K51" i="20"/>
  <c r="J51" i="20"/>
  <c r="I51" i="20"/>
  <c r="H51" i="20"/>
  <c r="G51" i="20"/>
  <c r="F51" i="20"/>
  <c r="E51" i="20"/>
  <c r="D51" i="20"/>
  <c r="U41" i="20"/>
  <c r="T41" i="20"/>
  <c r="S41" i="20"/>
  <c r="R41" i="20"/>
  <c r="Q41" i="20"/>
  <c r="P41" i="20"/>
  <c r="O41" i="20"/>
  <c r="N41" i="20"/>
  <c r="M41" i="20"/>
  <c r="L41" i="20"/>
  <c r="K41" i="20"/>
  <c r="J41" i="20"/>
  <c r="I41" i="20"/>
  <c r="H41" i="20"/>
  <c r="G41" i="20"/>
  <c r="F41" i="20"/>
  <c r="E41" i="20"/>
  <c r="D41" i="20"/>
  <c r="U50" i="20"/>
  <c r="T50" i="20"/>
  <c r="S50" i="20"/>
  <c r="R50" i="20"/>
  <c r="Q50" i="20"/>
  <c r="P50" i="20"/>
  <c r="O50" i="20"/>
  <c r="N50" i="20"/>
  <c r="M50" i="20"/>
  <c r="L50" i="20"/>
  <c r="K50" i="20"/>
  <c r="J50" i="20"/>
  <c r="I50" i="20"/>
  <c r="H50" i="20"/>
  <c r="G50" i="20"/>
  <c r="F50" i="20"/>
  <c r="E50" i="20"/>
  <c r="D5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U49" i="20"/>
  <c r="T49" i="20"/>
  <c r="S49" i="20"/>
  <c r="R49" i="20"/>
  <c r="Q49" i="20"/>
  <c r="P49" i="20"/>
  <c r="O49" i="20"/>
  <c r="N49" i="20"/>
  <c r="M49" i="20"/>
  <c r="L49" i="20"/>
  <c r="K49" i="20"/>
  <c r="J49" i="20"/>
  <c r="I49" i="20"/>
  <c r="H49" i="20"/>
  <c r="G49" i="20"/>
  <c r="F49" i="20"/>
  <c r="E49" i="20"/>
  <c r="D4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U48" i="20"/>
  <c r="T48" i="20"/>
  <c r="S48" i="20"/>
  <c r="R48" i="20"/>
  <c r="Q48" i="20"/>
  <c r="P48" i="20"/>
  <c r="O48" i="20"/>
  <c r="N48" i="20"/>
  <c r="M48" i="20"/>
  <c r="L48" i="20"/>
  <c r="K48" i="20"/>
  <c r="J48" i="20"/>
  <c r="I48" i="20"/>
  <c r="H48" i="20"/>
  <c r="G48" i="20"/>
  <c r="F48" i="20"/>
  <c r="E48" i="20"/>
  <c r="D4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E38" i="20"/>
  <c r="D38" i="20"/>
  <c r="U47" i="20"/>
  <c r="T47" i="20"/>
  <c r="S47" i="20"/>
  <c r="R47" i="20"/>
  <c r="Q47" i="20"/>
  <c r="P47" i="20"/>
  <c r="P26" i="20" s="1"/>
  <c r="O47" i="20"/>
  <c r="N47" i="20"/>
  <c r="M47" i="20"/>
  <c r="L47" i="20"/>
  <c r="K47" i="20"/>
  <c r="J47" i="20"/>
  <c r="J26" i="20" s="1"/>
  <c r="I47" i="20"/>
  <c r="H47" i="20"/>
  <c r="G47" i="20"/>
  <c r="F47" i="20"/>
  <c r="E47" i="20"/>
  <c r="D47" i="20"/>
  <c r="D26" i="20" s="1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E37" i="20"/>
  <c r="D37" i="20"/>
  <c r="D15" i="20" s="1"/>
  <c r="B47" i="20"/>
  <c r="B37" i="20"/>
  <c r="C52" i="20"/>
  <c r="C42" i="20"/>
  <c r="C31" i="20"/>
  <c r="C20" i="20"/>
  <c r="R20" i="20" s="1"/>
  <c r="C51" i="20"/>
  <c r="C41" i="20"/>
  <c r="C30" i="20"/>
  <c r="C19" i="20"/>
  <c r="C50" i="20"/>
  <c r="C40" i="20"/>
  <c r="M19" i="20" s="1"/>
  <c r="C29" i="20"/>
  <c r="C18" i="20"/>
  <c r="C49" i="20"/>
  <c r="C39" i="20"/>
  <c r="C28" i="20"/>
  <c r="C17" i="20"/>
  <c r="C48" i="20"/>
  <c r="C38" i="20"/>
  <c r="C27" i="20"/>
  <c r="C16" i="20"/>
  <c r="C47" i="20"/>
  <c r="C37" i="20"/>
  <c r="C26" i="20"/>
  <c r="C15" i="20"/>
  <c r="V8" i="66"/>
  <c r="U8" i="66"/>
  <c r="S8" i="66"/>
  <c r="T8" i="66"/>
  <c r="R8" i="66"/>
  <c r="Q8" i="66"/>
  <c r="AQ11" i="66"/>
  <c r="P8" i="66"/>
  <c r="O8" i="66"/>
  <c r="M8" i="66"/>
  <c r="N8" i="66"/>
  <c r="L8" i="66"/>
  <c r="K8" i="66"/>
  <c r="X11" i="66"/>
  <c r="V7" i="66"/>
  <c r="U7" i="66"/>
  <c r="S7" i="66"/>
  <c r="T7" i="66"/>
  <c r="R7" i="66"/>
  <c r="Q7" i="66"/>
  <c r="AN11" i="66"/>
  <c r="P7" i="66"/>
  <c r="O7" i="66"/>
  <c r="M7" i="66"/>
  <c r="N7" i="66"/>
  <c r="L7" i="66"/>
  <c r="K7" i="66"/>
  <c r="U11" i="66"/>
  <c r="V6" i="66"/>
  <c r="U6" i="66"/>
  <c r="S6" i="66"/>
  <c r="T6" i="66"/>
  <c r="R6" i="66"/>
  <c r="Q6" i="66"/>
  <c r="AK11" i="66"/>
  <c r="P6" i="66"/>
  <c r="O6" i="66"/>
  <c r="M6" i="66"/>
  <c r="N6" i="66"/>
  <c r="L6" i="66"/>
  <c r="K6" i="66"/>
  <c r="R11" i="66"/>
  <c r="V5" i="66"/>
  <c r="U5" i="66"/>
  <c r="S5" i="66"/>
  <c r="T5" i="66"/>
  <c r="R5" i="66"/>
  <c r="Q5" i="66"/>
  <c r="AH11" i="66"/>
  <c r="P5" i="66"/>
  <c r="O5" i="66"/>
  <c r="M5" i="66"/>
  <c r="N5" i="66"/>
  <c r="L5" i="66"/>
  <c r="K5" i="66"/>
  <c r="O11" i="66"/>
  <c r="V4" i="66"/>
  <c r="U4" i="66"/>
  <c r="S4" i="66"/>
  <c r="T4" i="66"/>
  <c r="R4" i="66"/>
  <c r="Q4" i="66"/>
  <c r="AE11" i="66"/>
  <c r="P4" i="66"/>
  <c r="O4" i="66"/>
  <c r="M4" i="66"/>
  <c r="N4" i="66"/>
  <c r="L4" i="66"/>
  <c r="K4" i="66"/>
  <c r="L11" i="66"/>
  <c r="V3" i="66"/>
  <c r="U3" i="66"/>
  <c r="S3" i="66"/>
  <c r="T3" i="66"/>
  <c r="R3" i="66"/>
  <c r="Q3" i="66"/>
  <c r="AB11" i="66"/>
  <c r="P3" i="66"/>
  <c r="O3" i="66"/>
  <c r="M3" i="66"/>
  <c r="N3" i="66"/>
  <c r="L3" i="66"/>
  <c r="K3" i="66"/>
  <c r="I11" i="66"/>
  <c r="F8" i="66"/>
  <c r="F7" i="66"/>
  <c r="F6" i="66"/>
  <c r="F5" i="66"/>
  <c r="F4" i="66"/>
  <c r="F3" i="66"/>
  <c r="H16" i="20" l="1"/>
  <c r="H28" i="20"/>
  <c r="H27" i="20"/>
  <c r="H19" i="20"/>
  <c r="M28" i="20"/>
  <c r="M17" i="20"/>
  <c r="R17" i="20"/>
  <c r="R31" i="20"/>
  <c r="H15" i="20"/>
  <c r="H26" i="20"/>
  <c r="R18" i="20"/>
  <c r="R30" i="20"/>
  <c r="X30" i="20" s="1"/>
  <c r="R29" i="20"/>
  <c r="D17" i="20"/>
  <c r="D18" i="20"/>
  <c r="P18" i="20"/>
  <c r="J29" i="20"/>
  <c r="D19" i="20"/>
  <c r="P19" i="20"/>
  <c r="J30" i="20"/>
  <c r="D20" i="20"/>
  <c r="P20" i="20"/>
  <c r="J31" i="20"/>
  <c r="Q16" i="20"/>
  <c r="K28" i="20"/>
  <c r="Q18" i="20"/>
  <c r="K29" i="20"/>
  <c r="E19" i="20"/>
  <c r="Q19" i="20"/>
  <c r="K30" i="20"/>
  <c r="E20" i="20"/>
  <c r="Q20" i="20"/>
  <c r="K31" i="20"/>
  <c r="P17" i="20"/>
  <c r="K26" i="20"/>
  <c r="E17" i="20"/>
  <c r="L26" i="20"/>
  <c r="F17" i="20"/>
  <c r="F18" i="20"/>
  <c r="L29" i="20"/>
  <c r="F19" i="20"/>
  <c r="L30" i="20"/>
  <c r="F20" i="20"/>
  <c r="L31" i="20"/>
  <c r="J27" i="20"/>
  <c r="K27" i="20"/>
  <c r="E18" i="20"/>
  <c r="M27" i="20"/>
  <c r="O5" i="20" s="1"/>
  <c r="H20" i="20"/>
  <c r="L28" i="20"/>
  <c r="R27" i="20"/>
  <c r="H31" i="20"/>
  <c r="G15" i="20"/>
  <c r="G17" i="20"/>
  <c r="G18" i="20"/>
  <c r="G19" i="20"/>
  <c r="G20" i="20"/>
  <c r="J28" i="20"/>
  <c r="R28" i="20"/>
  <c r="Q17" i="20"/>
  <c r="L27" i="20"/>
  <c r="M16" i="20"/>
  <c r="M20" i="20"/>
  <c r="N26" i="20"/>
  <c r="N27" i="20"/>
  <c r="N28" i="20"/>
  <c r="N29" i="20"/>
  <c r="N30" i="20"/>
  <c r="N31" i="20"/>
  <c r="H30" i="20"/>
  <c r="M31" i="20"/>
  <c r="O9" i="20" s="1"/>
  <c r="O26" i="20"/>
  <c r="I16" i="20"/>
  <c r="O27" i="20"/>
  <c r="I17" i="20"/>
  <c r="O28" i="20"/>
  <c r="I18" i="20"/>
  <c r="O29" i="20"/>
  <c r="I19" i="20"/>
  <c r="O30" i="20"/>
  <c r="I20" i="20"/>
  <c r="O31" i="20"/>
  <c r="M15" i="20"/>
  <c r="D27" i="20"/>
  <c r="D32" i="20" s="1"/>
  <c r="D28" i="20"/>
  <c r="P28" i="20"/>
  <c r="J18" i="20"/>
  <c r="D29" i="20"/>
  <c r="P29" i="20"/>
  <c r="J19" i="20"/>
  <c r="T19" i="20" s="1"/>
  <c r="D30" i="20"/>
  <c r="P30" i="20"/>
  <c r="J20" i="20"/>
  <c r="D31" i="20"/>
  <c r="P31" i="20"/>
  <c r="E26" i="20"/>
  <c r="L4" i="20" s="1"/>
  <c r="Q27" i="20"/>
  <c r="K18" i="20"/>
  <c r="F7" i="20" s="1"/>
  <c r="E29" i="20"/>
  <c r="Q29" i="20"/>
  <c r="K19" i="20"/>
  <c r="E30" i="20"/>
  <c r="Q30" i="20"/>
  <c r="K20" i="20"/>
  <c r="E31" i="20"/>
  <c r="Q31" i="20"/>
  <c r="X31" i="20" s="1"/>
  <c r="J17" i="20"/>
  <c r="H29" i="20"/>
  <c r="M30" i="20"/>
  <c r="Q28" i="20"/>
  <c r="H17" i="20"/>
  <c r="M18" i="20"/>
  <c r="R19" i="20"/>
  <c r="H8" i="20" s="1"/>
  <c r="F28" i="20"/>
  <c r="L18" i="20"/>
  <c r="F29" i="20"/>
  <c r="L19" i="20"/>
  <c r="F30" i="20"/>
  <c r="M8" i="20" s="1"/>
  <c r="L20" i="20"/>
  <c r="G9" i="20" s="1"/>
  <c r="F31" i="20"/>
  <c r="M9" i="20" s="1"/>
  <c r="P27" i="20"/>
  <c r="R26" i="20"/>
  <c r="Q26" i="20"/>
  <c r="K17" i="20"/>
  <c r="F26" i="20"/>
  <c r="L17" i="20"/>
  <c r="M29" i="20"/>
  <c r="G26" i="20"/>
  <c r="V26" i="20" s="1"/>
  <c r="G27" i="20"/>
  <c r="G28" i="20"/>
  <c r="G29" i="20"/>
  <c r="N7" i="20" s="1"/>
  <c r="G30" i="20"/>
  <c r="G31" i="20"/>
  <c r="E27" i="20"/>
  <c r="E28" i="20"/>
  <c r="F27" i="20"/>
  <c r="N15" i="20"/>
  <c r="N16" i="20"/>
  <c r="N17" i="20"/>
  <c r="X17" i="20" s="1"/>
  <c r="N18" i="20"/>
  <c r="N19" i="20"/>
  <c r="N20" i="20"/>
  <c r="X20" i="20" s="1"/>
  <c r="M26" i="20"/>
  <c r="H18" i="20"/>
  <c r="I26" i="20"/>
  <c r="O16" i="20"/>
  <c r="I27" i="20"/>
  <c r="O17" i="20"/>
  <c r="I28" i="20"/>
  <c r="O18" i="20"/>
  <c r="E7" i="20" s="1"/>
  <c r="I29" i="20"/>
  <c r="O19" i="20"/>
  <c r="I30" i="20"/>
  <c r="K8" i="20" s="1"/>
  <c r="O20" i="20"/>
  <c r="E9" i="20" s="1"/>
  <c r="I31" i="20"/>
  <c r="W31" i="20" s="1"/>
  <c r="D9" i="20"/>
  <c r="W19" i="20"/>
  <c r="X19" i="20"/>
  <c r="V18" i="20"/>
  <c r="O15" i="20"/>
  <c r="D16" i="20"/>
  <c r="D21" i="20" s="1"/>
  <c r="J16" i="20"/>
  <c r="I15" i="20"/>
  <c r="I21" i="20" s="1"/>
  <c r="P16" i="20"/>
  <c r="P15" i="20"/>
  <c r="P21" i="20" s="1"/>
  <c r="K15" i="20"/>
  <c r="K21" i="20" s="1"/>
  <c r="F16" i="20"/>
  <c r="R16" i="20"/>
  <c r="E16" i="20"/>
  <c r="E15" i="20"/>
  <c r="E21" i="20" s="1"/>
  <c r="Q15" i="20"/>
  <c r="Q21" i="20" s="1"/>
  <c r="L16" i="20"/>
  <c r="K16" i="20"/>
  <c r="L15" i="20"/>
  <c r="L21" i="20" s="1"/>
  <c r="G16" i="20"/>
  <c r="J15" i="20"/>
  <c r="J21" i="20" s="1"/>
  <c r="F15" i="20"/>
  <c r="F21" i="20" s="1"/>
  <c r="R15" i="20"/>
  <c r="R21" i="20" s="1"/>
  <c r="B3" i="66"/>
  <c r="B2" i="66"/>
  <c r="A18" i="66"/>
  <c r="A17" i="66"/>
  <c r="A16" i="66"/>
  <c r="A15" i="66"/>
  <c r="A13" i="66"/>
  <c r="A12" i="66"/>
  <c r="I3" i="66"/>
  <c r="H3" i="66"/>
  <c r="G3" i="66"/>
  <c r="L8" i="20" l="1"/>
  <c r="J32" i="20"/>
  <c r="U30" i="20"/>
  <c r="G32" i="20"/>
  <c r="Q32" i="20"/>
  <c r="V27" i="20"/>
  <c r="R32" i="20"/>
  <c r="P32" i="20"/>
  <c r="G6" i="20"/>
  <c r="N8" i="20"/>
  <c r="Q8" i="20" s="1"/>
  <c r="V19" i="20"/>
  <c r="H6" i="20"/>
  <c r="N21" i="20"/>
  <c r="M4" i="20"/>
  <c r="F32" i="20"/>
  <c r="M7" i="20"/>
  <c r="W18" i="20"/>
  <c r="K5" i="20"/>
  <c r="V15" i="20"/>
  <c r="G21" i="20"/>
  <c r="F8" i="20"/>
  <c r="G8" i="20"/>
  <c r="L7" i="20"/>
  <c r="O6" i="20"/>
  <c r="U17" i="20"/>
  <c r="H7" i="20"/>
  <c r="V29" i="20"/>
  <c r="L6" i="20"/>
  <c r="N32" i="20"/>
  <c r="D6" i="20"/>
  <c r="O21" i="20"/>
  <c r="I32" i="20"/>
  <c r="L32" i="20"/>
  <c r="E32" i="20"/>
  <c r="O32" i="20"/>
  <c r="M32" i="20"/>
  <c r="E6" i="20"/>
  <c r="M21" i="20"/>
  <c r="K32" i="20"/>
  <c r="L9" i="20"/>
  <c r="U31" i="20"/>
  <c r="V30" i="20"/>
  <c r="F9" i="20"/>
  <c r="H32" i="20"/>
  <c r="H21" i="20"/>
  <c r="W17" i="20"/>
  <c r="X26" i="20"/>
  <c r="N6" i="20"/>
  <c r="X18" i="20"/>
  <c r="S18" i="20"/>
  <c r="D8" i="20"/>
  <c r="S19" i="20"/>
  <c r="G7" i="20"/>
  <c r="E8" i="20"/>
  <c r="S30" i="20"/>
  <c r="S17" i="20"/>
  <c r="T17" i="20"/>
  <c r="T29" i="20"/>
  <c r="T18" i="20"/>
  <c r="L5" i="20"/>
  <c r="P5" i="20" s="1"/>
  <c r="X28" i="20"/>
  <c r="F6" i="20"/>
  <c r="W26" i="20"/>
  <c r="V31" i="20"/>
  <c r="M5" i="20"/>
  <c r="O8" i="20"/>
  <c r="X27" i="20"/>
  <c r="V28" i="20"/>
  <c r="W27" i="20"/>
  <c r="S20" i="20"/>
  <c r="X29" i="20"/>
  <c r="T28" i="20"/>
  <c r="K7" i="20"/>
  <c r="U29" i="20"/>
  <c r="U20" i="20"/>
  <c r="V17" i="20"/>
  <c r="O7" i="20"/>
  <c r="O4" i="20"/>
  <c r="M6" i="20"/>
  <c r="S27" i="20"/>
  <c r="V20" i="20"/>
  <c r="U28" i="20"/>
  <c r="U18" i="20"/>
  <c r="N4" i="20"/>
  <c r="U26" i="20"/>
  <c r="W28" i="20"/>
  <c r="U16" i="20"/>
  <c r="T30" i="20"/>
  <c r="T27" i="20"/>
  <c r="U19" i="20"/>
  <c r="H9" i="20"/>
  <c r="I9" i="20" s="1"/>
  <c r="T31" i="20"/>
  <c r="T26" i="20"/>
  <c r="W30" i="20"/>
  <c r="W20" i="20"/>
  <c r="D7" i="20"/>
  <c r="S26" i="20"/>
  <c r="K4" i="20"/>
  <c r="K6" i="20"/>
  <c r="T20" i="20"/>
  <c r="S29" i="20"/>
  <c r="U27" i="20"/>
  <c r="S31" i="20"/>
  <c r="K9" i="20"/>
  <c r="S28" i="20"/>
  <c r="N5" i="20"/>
  <c r="N9" i="20"/>
  <c r="W16" i="20"/>
  <c r="W29" i="20"/>
  <c r="X15" i="20"/>
  <c r="X21" i="20" s="1"/>
  <c r="G4" i="20"/>
  <c r="F4" i="20"/>
  <c r="J6" i="20"/>
  <c r="I6" i="20"/>
  <c r="E5" i="20"/>
  <c r="T15" i="20"/>
  <c r="T16" i="20"/>
  <c r="U15" i="20"/>
  <c r="E4" i="20"/>
  <c r="Q5" i="20"/>
  <c r="W15" i="20"/>
  <c r="W21" i="20" s="1"/>
  <c r="H4" i="20"/>
  <c r="V16" i="20"/>
  <c r="D5" i="20"/>
  <c r="S16" i="20"/>
  <c r="X16" i="20"/>
  <c r="F5" i="20"/>
  <c r="D4" i="20"/>
  <c r="S15" i="20"/>
  <c r="H5" i="20"/>
  <c r="G5" i="20"/>
  <c r="A14" i="66"/>
  <c r="J3" i="66"/>
  <c r="V32" i="20" l="1"/>
  <c r="P4" i="20"/>
  <c r="P8" i="20"/>
  <c r="P6" i="20"/>
  <c r="V21" i="20"/>
  <c r="W32" i="20"/>
  <c r="I8" i="20"/>
  <c r="U32" i="20"/>
  <c r="I7" i="20"/>
  <c r="U21" i="20"/>
  <c r="X32" i="20"/>
  <c r="S32" i="20"/>
  <c r="S21" i="20"/>
  <c r="T32" i="20"/>
  <c r="T21" i="20"/>
  <c r="J8" i="20"/>
  <c r="Q7" i="20"/>
  <c r="P9" i="20"/>
  <c r="Q4" i="20"/>
  <c r="P7" i="20"/>
  <c r="Q9" i="20"/>
  <c r="Q6" i="20"/>
  <c r="J7" i="20"/>
  <c r="J9" i="20"/>
  <c r="J4" i="20"/>
  <c r="I4" i="20"/>
  <c r="J5" i="20"/>
  <c r="I5" i="20"/>
</calcChain>
</file>

<file path=xl/sharedStrings.xml><?xml version="1.0" encoding="utf-8"?>
<sst xmlns="http://schemas.openxmlformats.org/spreadsheetml/2006/main" count="224" uniqueCount="76">
  <si>
    <t xml:space="preserve">       TESTCASE DOCUMENTS</t>
  </si>
  <si>
    <t>Project Name:</t>
  </si>
  <si>
    <t>Nhập tên dự án</t>
    <phoneticPr fontId="12"/>
  </si>
  <si>
    <t>Reviewer:</t>
  </si>
  <si>
    <t>HaPT</t>
    <phoneticPr fontId="12"/>
  </si>
  <si>
    <t>Phase:</t>
  </si>
  <si>
    <t xml:space="preserve">Nhâp tên phase </t>
    <phoneticPr fontId="12"/>
  </si>
  <si>
    <t>Created time (h):</t>
  </si>
  <si>
    <t>Record of change:</t>
  </si>
  <si>
    <r>
      <t xml:space="preserve"> (</t>
    </r>
    <r>
      <rPr>
        <sz val="12"/>
        <color rgb="FFFF0000"/>
        <rFont val="Times New Roman"/>
        <family val="1"/>
      </rPr>
      <t>*</t>
    </r>
    <r>
      <rPr>
        <sz val="12"/>
        <rFont val="Times New Roman"/>
        <family val="1"/>
      </rPr>
      <t>) A (Add), M (Modify), D (Delete)</t>
    </r>
  </si>
  <si>
    <t>Date</t>
    <phoneticPr fontId="12"/>
  </si>
  <si>
    <t>Version</t>
  </si>
  <si>
    <t>Change Description</t>
  </si>
  <si>
    <r>
      <t>A, D, M (</t>
    </r>
    <r>
      <rPr>
        <b/>
        <sz val="12"/>
        <color rgb="FFFF0000"/>
        <rFont val="Times New Roman"/>
        <family val="1"/>
      </rPr>
      <t>*</t>
    </r>
    <r>
      <rPr>
        <b/>
        <sz val="12"/>
        <color rgb="FFFFFFFF"/>
        <rFont val="Times New Roman"/>
        <family val="1"/>
      </rPr>
      <t>)</t>
    </r>
  </si>
  <si>
    <t>Change item</t>
  </si>
  <si>
    <t>Reference</t>
  </si>
  <si>
    <t>PIC</t>
  </si>
  <si>
    <t>Round 1</t>
  </si>
  <si>
    <t>Pass</t>
  </si>
  <si>
    <t>Fail</t>
  </si>
  <si>
    <t>Untested</t>
  </si>
  <si>
    <t>Rejected</t>
  </si>
  <si>
    <t>Total</t>
  </si>
  <si>
    <t>Environment</t>
  </si>
  <si>
    <t>High</t>
  </si>
  <si>
    <t>Normal</t>
  </si>
  <si>
    <t>Low</t>
  </si>
  <si>
    <t>Tester</t>
  </si>
  <si>
    <t>Note</t>
  </si>
  <si>
    <t>Module:</t>
  </si>
  <si>
    <t>Creator:</t>
  </si>
  <si>
    <t>Priority</t>
  </si>
  <si>
    <t>Round 2</t>
  </si>
  <si>
    <t>Project name:</t>
  </si>
  <si>
    <t>Created date:</t>
  </si>
  <si>
    <t>% coverage</t>
  </si>
  <si>
    <t>Pass coverage</t>
    <phoneticPr fontId="3"/>
  </si>
  <si>
    <t>% coverage</t>
    <phoneticPr fontId="12"/>
  </si>
  <si>
    <t>Created time:</t>
  </si>
  <si>
    <t>ID</t>
  </si>
  <si>
    <t>Category</t>
    <phoneticPr fontId="3"/>
  </si>
  <si>
    <t>Performance steps(test steps)</t>
    <phoneticPr fontId="3"/>
  </si>
  <si>
    <t>Test Data</t>
    <phoneticPr fontId="3"/>
  </si>
  <si>
    <t>Expected result</t>
    <phoneticPr fontId="3"/>
  </si>
  <si>
    <t>Priority</t>
    <phoneticPr fontId="3"/>
  </si>
  <si>
    <t>Date</t>
  </si>
  <si>
    <t>Trường email</t>
  </si>
  <si>
    <t>&lt;List all test cases or conditions that must be done before performing this case&gt;</t>
  </si>
  <si>
    <t>&lt;Describe steps to perform this case&gt;
Ex:
1. Login the system with Manager role.
2. Click "Company" tab in the left menu.</t>
  </si>
  <si>
    <t xml:space="preserve">&lt;Describe results which meet customer's requirement&gt;
Ex:
The "Company" view form is displayed with the folowing informations:
- Company name
- Company address
- Phone
- Fax
</t>
    <phoneticPr fontId="12"/>
  </si>
  <si>
    <t>Sub Category</t>
    <phoneticPr fontId="3"/>
  </si>
  <si>
    <t>% Coverage</t>
  </si>
  <si>
    <t>% Pass converage</t>
  </si>
  <si>
    <t>Round1</t>
  </si>
  <si>
    <t>Test Result</t>
  </si>
  <si>
    <t>Test coverage (%)</t>
  </si>
  <si>
    <t>Total:</t>
  </si>
  <si>
    <t>No</t>
  </si>
  <si>
    <t>Module/Function</t>
  </si>
  <si>
    <t>Total TC</t>
  </si>
  <si>
    <t>Creator</t>
  </si>
  <si>
    <t>General statistic</t>
  </si>
  <si>
    <t>Pass coverage (%)</t>
  </si>
  <si>
    <t>Round 1 in detail</t>
  </si>
  <si>
    <t>Round 2 in detail</t>
  </si>
  <si>
    <t>Module 1</t>
  </si>
  <si>
    <t>Test result round 1</t>
  </si>
  <si>
    <t>BugID</t>
  </si>
  <si>
    <t>Test result round 2</t>
  </si>
  <si>
    <t>Round base statistic</t>
  </si>
  <si>
    <t>EV1</t>
  </si>
  <si>
    <t>EV2</t>
  </si>
  <si>
    <t>EV3</t>
  </si>
  <si>
    <t>EV4</t>
  </si>
  <si>
    <t>EV5</t>
  </si>
  <si>
    <t>EV6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</si>
</sst>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"/>
  </numFmts>
  <fonts count="20">
    <font>
      <sz val="11"/>
      <color theme="1"/>
      <name val="Calibri"/>
      <family val="2"/>
      <charset val="163"/>
      <scheme val="minor"/>
    </font>
    <font>
      <b/>
      <sz val="12"/>
      <color indexed="60"/>
      <name val="Times New Roman"/>
      <family val="1"/>
    </font>
    <font>
      <i/>
      <sz val="12"/>
      <name val="Times New Roman"/>
      <family val="1"/>
    </font>
    <font>
      <sz val="11"/>
      <name val="ＭＳ Ｐゴシック"/>
      <family val="2"/>
    </font>
    <font>
      <sz val="12"/>
      <name val="Times New Roman"/>
      <family val="1"/>
    </font>
    <font>
      <b/>
      <sz val="12"/>
      <color rgb="FF993300"/>
      <name val="Times New Roman"/>
      <family val="1"/>
    </font>
    <font>
      <sz val="12"/>
      <color rgb="FFFF0000"/>
      <name val="Times New Roman"/>
      <family val="1"/>
    </font>
    <font>
      <b/>
      <sz val="12"/>
      <color rgb="FFFFFFFF"/>
      <name val="Times New Roman"/>
      <family val="1"/>
    </font>
    <font>
      <b/>
      <sz val="12"/>
      <color rgb="FFFF0000"/>
      <name val="Times New Roman"/>
      <family val="1"/>
    </font>
    <font>
      <i/>
      <sz val="12"/>
      <color theme="6" tint="-0.499984740745262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2"/>
      <color theme="0"/>
      <name val="Times New Roman"/>
      <family val="1"/>
    </font>
    <font>
      <sz val="6"/>
      <name val="Calibri"/>
      <family val="3"/>
      <charset val="128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37A0D9"/>
      <name val="Times New Roman"/>
      <family val="1"/>
    </font>
    <font>
      <b/>
      <sz val="24"/>
      <color indexed="60"/>
      <name val="Times New Roman"/>
      <family val="1"/>
    </font>
    <font>
      <b/>
      <sz val="11"/>
      <color theme="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color theme="5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000080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2"/>
        <bgColor rgb="FF000080"/>
      </patternFill>
    </fill>
    <fill>
      <patternFill patternType="solid">
        <fgColor theme="4" tint="0.39994506668294322"/>
        <bgColor rgb="FF000080"/>
      </patternFill>
    </fill>
    <fill>
      <patternFill patternType="solid">
        <fgColor theme="0" tint="-0.14996795556505021"/>
        <bgColor rgb="FF000080"/>
      </patternFill>
    </fill>
  </fills>
  <borders count="30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23">
    <xf numFmtId="0" fontId="0" fillId="0" borderId="0" xfId="0"/>
    <xf numFmtId="0" fontId="4" fillId="8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" fontId="16" fillId="3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vertical="center"/>
    </xf>
    <xf numFmtId="164" fontId="11" fillId="10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4" fillId="11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/>
    </xf>
    <xf numFmtId="164" fontId="7" fillId="6" borderId="9" xfId="0" applyNumberFormat="1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15" fontId="4" fillId="2" borderId="9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64" fontId="2" fillId="2" borderId="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Border="1" applyAlignment="1">
      <alignment horizontal="left" vertical="center" wrapText="1"/>
    </xf>
    <xf numFmtId="0" fontId="4" fillId="0" borderId="6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164" fontId="11" fillId="6" borderId="10" xfId="0" applyNumberFormat="1" applyFont="1" applyFill="1" applyBorder="1" applyAlignment="1">
      <alignment horizontal="center" vertical="center" wrapText="1"/>
    </xf>
    <xf numFmtId="49" fontId="4" fillId="8" borderId="5" xfId="0" applyNumberFormat="1" applyFont="1" applyFill="1" applyBorder="1" applyAlignment="1">
      <alignment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49" fontId="4" fillId="8" borderId="0" xfId="0" applyNumberFormat="1" applyFont="1" applyFill="1" applyBorder="1" applyAlignment="1">
      <alignment vertical="center" wrapText="1"/>
    </xf>
    <xf numFmtId="0" fontId="4" fillId="8" borderId="0" xfId="0" applyFont="1" applyFill="1" applyBorder="1" applyAlignment="1">
      <alignment vertical="center" wrapText="1"/>
    </xf>
    <xf numFmtId="0" fontId="13" fillId="5" borderId="12" xfId="0" applyFont="1" applyFill="1" applyBorder="1" applyAlignment="1">
      <alignment horizontal="center" vertical="center" wrapText="1"/>
    </xf>
    <xf numFmtId="164" fontId="11" fillId="9" borderId="14" xfId="0" applyNumberFormat="1" applyFont="1" applyFill="1" applyBorder="1" applyAlignment="1">
      <alignment horizontal="center" vertical="center" wrapText="1"/>
    </xf>
    <xf numFmtId="1" fontId="1" fillId="4" borderId="9" xfId="0" applyNumberFormat="1" applyFont="1" applyFill="1" applyBorder="1" applyAlignment="1">
      <alignment horizontal="center" vertical="center"/>
    </xf>
    <xf numFmtId="49" fontId="2" fillId="4" borderId="6" xfId="1" applyNumberFormat="1" applyFont="1" applyFill="1" applyBorder="1" applyAlignment="1">
      <alignment horizontal="center" vertical="center"/>
    </xf>
    <xf numFmtId="49" fontId="2" fillId="4" borderId="8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164" fontId="11" fillId="6" borderId="3" xfId="0" applyNumberFormat="1" applyFont="1" applyFill="1" applyBorder="1" applyAlignment="1">
      <alignment horizontal="center" vertical="center" wrapText="1"/>
    </xf>
    <xf numFmtId="164" fontId="11" fillId="6" borderId="6" xfId="0" applyNumberFormat="1" applyFont="1" applyFill="1" applyBorder="1" applyAlignment="1">
      <alignment horizontal="center" vertical="center" wrapText="1"/>
    </xf>
    <xf numFmtId="164" fontId="11" fillId="6" borderId="7" xfId="0" applyNumberFormat="1" applyFont="1" applyFill="1" applyBorder="1" applyAlignment="1">
      <alignment horizontal="center" vertical="center" wrapText="1"/>
    </xf>
    <xf numFmtId="164" fontId="11" fillId="6" borderId="8" xfId="0" applyNumberFormat="1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13" fillId="5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4" fillId="12" borderId="14" xfId="0" applyFont="1" applyFill="1" applyBorder="1" applyAlignment="1">
      <alignment horizontal="center" vertical="center" wrapText="1"/>
    </xf>
    <xf numFmtId="0" fontId="13" fillId="13" borderId="14" xfId="0" applyFont="1" applyFill="1" applyBorder="1" applyAlignment="1">
      <alignment horizontal="center" vertical="center" wrapText="1"/>
    </xf>
    <xf numFmtId="0" fontId="14" fillId="13" borderId="14" xfId="0" applyFont="1" applyFill="1" applyBorder="1" applyAlignment="1">
      <alignment horizontal="center" vertical="center" wrapText="1"/>
    </xf>
    <xf numFmtId="9" fontId="8" fillId="13" borderId="14" xfId="0" applyNumberFormat="1" applyFont="1" applyFill="1" applyBorder="1" applyAlignment="1">
      <alignment horizontal="center" vertical="center" wrapText="1"/>
    </xf>
    <xf numFmtId="0" fontId="13" fillId="14" borderId="14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9" fontId="8" fillId="14" borderId="14" xfId="0" applyNumberFormat="1" applyFont="1" applyFill="1" applyBorder="1" applyAlignment="1">
      <alignment horizontal="center" vertical="center" wrapText="1"/>
    </xf>
    <xf numFmtId="0" fontId="19" fillId="5" borderId="13" xfId="0" applyFont="1" applyFill="1" applyBorder="1" applyAlignment="1">
      <alignment horizontal="center" vertical="center" wrapText="1"/>
    </xf>
    <xf numFmtId="0" fontId="13" fillId="16" borderId="14" xfId="0" applyFont="1" applyFill="1" applyBorder="1" applyAlignment="1">
      <alignment horizontal="center" vertical="center" wrapText="1"/>
    </xf>
    <xf numFmtId="0" fontId="14" fillId="16" borderId="14" xfId="0" applyFont="1" applyFill="1" applyBorder="1" applyAlignment="1">
      <alignment horizontal="center" vertical="center" wrapText="1"/>
    </xf>
    <xf numFmtId="0" fontId="13" fillId="17" borderId="14" xfId="0" applyFont="1" applyFill="1" applyBorder="1" applyAlignment="1">
      <alignment horizontal="center" vertical="center" wrapText="1"/>
    </xf>
    <xf numFmtId="0" fontId="14" fillId="17" borderId="14" xfId="0" applyFont="1" applyFill="1" applyBorder="1" applyAlignment="1">
      <alignment horizontal="center" vertical="center" wrapText="1"/>
    </xf>
    <xf numFmtId="0" fontId="13" fillId="18" borderId="14" xfId="0" applyFont="1" applyFill="1" applyBorder="1" applyAlignment="1">
      <alignment horizontal="center" vertical="center" wrapText="1"/>
    </xf>
    <xf numFmtId="0" fontId="14" fillId="18" borderId="14" xfId="0" applyFont="1" applyFill="1" applyBorder="1" applyAlignment="1">
      <alignment horizontal="center" vertical="center" wrapText="1"/>
    </xf>
    <xf numFmtId="0" fontId="14" fillId="5" borderId="14" xfId="0" applyFont="1" applyFill="1" applyBorder="1" applyAlignment="1">
      <alignment horizontal="center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3" fillId="16" borderId="20" xfId="0" applyFont="1" applyFill="1" applyBorder="1" applyAlignment="1">
      <alignment horizontal="center" vertical="center" wrapText="1"/>
    </xf>
    <xf numFmtId="0" fontId="14" fillId="16" borderId="20" xfId="0" applyFont="1" applyFill="1" applyBorder="1" applyAlignment="1">
      <alignment horizontal="center" vertical="center" wrapText="1"/>
    </xf>
    <xf numFmtId="0" fontId="13" fillId="17" borderId="20" xfId="0" applyFont="1" applyFill="1" applyBorder="1" applyAlignment="1">
      <alignment horizontal="center" vertical="center" wrapText="1"/>
    </xf>
    <xf numFmtId="0" fontId="14" fillId="17" borderId="20" xfId="0" applyFont="1" applyFill="1" applyBorder="1" applyAlignment="1">
      <alignment horizontal="center" vertical="center" wrapText="1"/>
    </xf>
    <xf numFmtId="0" fontId="13" fillId="18" borderId="20" xfId="0" applyFont="1" applyFill="1" applyBorder="1" applyAlignment="1">
      <alignment horizontal="center" vertical="center" wrapText="1"/>
    </xf>
    <xf numFmtId="0" fontId="14" fillId="18" borderId="20" xfId="0" applyFont="1" applyFill="1" applyBorder="1" applyAlignment="1">
      <alignment horizontal="center" vertical="center" wrapText="1"/>
    </xf>
    <xf numFmtId="0" fontId="14" fillId="5" borderId="20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5" borderId="24" xfId="0" applyFont="1" applyFill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164" fontId="11" fillId="9" borderId="14" xfId="0" applyNumberFormat="1" applyFont="1" applyFill="1" applyBorder="1" applyAlignment="1">
      <alignment horizontal="center" vertical="center" wrapText="1"/>
    </xf>
    <xf numFmtId="0" fontId="17" fillId="9" borderId="14" xfId="0" applyFont="1" applyFill="1" applyBorder="1" applyAlignment="1">
      <alignment horizontal="center" vertical="center"/>
    </xf>
    <xf numFmtId="0" fontId="17" fillId="9" borderId="14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 wrapText="1"/>
    </xf>
    <xf numFmtId="14" fontId="4" fillId="0" borderId="14" xfId="0" applyNumberFormat="1" applyFont="1" applyFill="1" applyBorder="1" applyAlignment="1">
      <alignment vertical="center" wrapText="1"/>
    </xf>
    <xf numFmtId="0" fontId="0" fillId="0" borderId="14" xfId="0" applyFill="1" applyBorder="1" applyAlignment="1"/>
    <xf numFmtId="0" fontId="17" fillId="0" borderId="0" xfId="0" applyFont="1" applyFill="1" applyBorder="1" applyAlignment="1">
      <alignment horizontal="center" vertical="center"/>
    </xf>
    <xf numFmtId="164" fontId="11" fillId="9" borderId="26" xfId="0" applyNumberFormat="1" applyFont="1" applyFill="1" applyBorder="1" applyAlignment="1">
      <alignment horizontal="center" vertical="center" wrapText="1"/>
    </xf>
    <xf numFmtId="0" fontId="4" fillId="7" borderId="26" xfId="0" applyFont="1" applyFill="1" applyBorder="1" applyAlignment="1">
      <alignment horizontal="right" vertical="center" wrapText="1"/>
    </xf>
    <xf numFmtId="0" fontId="4" fillId="7" borderId="26" xfId="0" applyFont="1" applyFill="1" applyBorder="1" applyAlignment="1">
      <alignment horizontal="center" vertical="center" wrapText="1"/>
    </xf>
    <xf numFmtId="9" fontId="4" fillId="7" borderId="26" xfId="0" applyNumberFormat="1" applyFont="1" applyFill="1" applyBorder="1" applyAlignment="1">
      <alignment horizontal="center" vertical="center" wrapText="1"/>
    </xf>
    <xf numFmtId="164" fontId="11" fillId="9" borderId="20" xfId="0" applyNumberFormat="1" applyFont="1" applyFill="1" applyBorder="1" applyAlignment="1">
      <alignment horizontal="center" vertical="center" wrapText="1"/>
    </xf>
    <xf numFmtId="0" fontId="0" fillId="0" borderId="20" xfId="0" applyBorder="1" applyAlignment="1">
      <alignment horizontal="right" vertical="center" wrapText="1"/>
    </xf>
    <xf numFmtId="0" fontId="4" fillId="7" borderId="20" xfId="0" applyFont="1" applyFill="1" applyBorder="1" applyAlignment="1">
      <alignment horizontal="center" vertical="center" wrapText="1"/>
    </xf>
    <xf numFmtId="9" fontId="4" fillId="7" borderId="20" xfId="0" applyNumberFormat="1" applyFont="1" applyFill="1" applyBorder="1" applyAlignment="1">
      <alignment horizontal="center" vertical="center" wrapText="1"/>
    </xf>
    <xf numFmtId="0" fontId="13" fillId="5" borderId="27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3" fillId="5" borderId="16" xfId="0" applyFont="1" applyFill="1" applyBorder="1" applyAlignment="1">
      <alignment horizontal="center" vertical="center" wrapText="1"/>
    </xf>
    <xf numFmtId="0" fontId="13" fillId="5" borderId="15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47625</xdr:rowOff>
    </xdr:from>
    <xdr:to>
      <xdr:col>2</xdr:col>
      <xdr:colOff>469900</xdr:colOff>
      <xdr:row>1</xdr:row>
      <xdr:rowOff>152400</xdr:rowOff>
    </xdr:to>
    <xdr:pic>
      <xdr:nvPicPr>
        <xdr:cNvPr id="2" name="Picture 1" descr="Logo_Only_blu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47625"/>
          <a:ext cx="1679575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0</xdr:rowOff>
        </xdr:from>
        <xdr:to>
          <xdr:col>3</xdr:col>
          <xdr:colOff>171450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workbookViewId="0">
      <selection activeCell="D3" sqref="D3"/>
    </sheetView>
  </sheetViews>
  <sheetFormatPr defaultColWidth="8.85546875" defaultRowHeight="15.75"/>
  <cols>
    <col min="1" max="1" width="4.85546875" style="5" customWidth="1"/>
    <col min="2" max="2" width="16" style="5" customWidth="1"/>
    <col min="3" max="3" width="9" style="5" customWidth="1"/>
    <col min="4" max="4" width="22.42578125" style="5" customWidth="1"/>
    <col min="5" max="5" width="9.42578125" style="5" customWidth="1"/>
    <col min="6" max="6" width="18.5703125" style="5" customWidth="1"/>
    <col min="7" max="7" width="18.42578125" style="5" customWidth="1"/>
    <col min="8" max="8" width="12.85546875" style="5" customWidth="1"/>
    <col min="9" max="16384" width="8.85546875" style="5"/>
  </cols>
  <sheetData>
    <row r="1" spans="1:8" ht="39.75" customHeight="1">
      <c r="A1" s="8"/>
      <c r="B1" s="7"/>
      <c r="C1" s="9"/>
      <c r="D1" s="12" t="s">
        <v>0</v>
      </c>
      <c r="E1" s="9"/>
      <c r="F1" s="9"/>
      <c r="G1" s="9"/>
      <c r="H1" s="6"/>
    </row>
    <row r="2" spans="1:8">
      <c r="A2" s="8"/>
      <c r="B2" s="7"/>
      <c r="C2" s="9"/>
      <c r="D2" s="9"/>
      <c r="E2" s="9"/>
      <c r="F2" s="9"/>
      <c r="G2" s="9"/>
      <c r="H2" s="6"/>
    </row>
    <row r="3" spans="1:8">
      <c r="A3" s="8"/>
      <c r="B3" s="47" t="s">
        <v>1</v>
      </c>
      <c r="C3" s="47"/>
      <c r="D3" s="21" t="s">
        <v>2</v>
      </c>
      <c r="E3" s="47" t="s">
        <v>3</v>
      </c>
      <c r="F3" s="47"/>
      <c r="G3" s="48" t="s">
        <v>4</v>
      </c>
      <c r="H3" s="49"/>
    </row>
    <row r="4" spans="1:8">
      <c r="A4" s="8"/>
      <c r="B4" s="47" t="s">
        <v>5</v>
      </c>
      <c r="C4" s="47"/>
      <c r="D4" s="21" t="s">
        <v>6</v>
      </c>
      <c r="E4" s="47" t="s">
        <v>7</v>
      </c>
      <c r="F4" s="47"/>
      <c r="G4" s="50"/>
      <c r="H4" s="51"/>
    </row>
    <row r="5" spans="1:8">
      <c r="A5" s="8"/>
      <c r="B5" s="7"/>
      <c r="C5" s="9"/>
      <c r="D5" s="9"/>
      <c r="E5" s="9"/>
      <c r="F5" s="9"/>
      <c r="G5" s="9"/>
      <c r="H5" s="6"/>
    </row>
    <row r="6" spans="1:8">
      <c r="A6" s="8"/>
      <c r="B6" s="10" t="s">
        <v>8</v>
      </c>
      <c r="C6" s="8"/>
      <c r="D6" s="8"/>
      <c r="E6" s="8"/>
      <c r="F6" s="8"/>
      <c r="G6" s="8"/>
      <c r="H6" s="11" t="s">
        <v>9</v>
      </c>
    </row>
    <row r="7" spans="1:8" ht="31.5">
      <c r="A7" s="8"/>
      <c r="B7" s="22" t="s">
        <v>10</v>
      </c>
      <c r="C7" s="22" t="s">
        <v>11</v>
      </c>
      <c r="D7" s="22" t="s">
        <v>12</v>
      </c>
      <c r="E7" s="22" t="s">
        <v>13</v>
      </c>
      <c r="F7" s="22" t="s">
        <v>14</v>
      </c>
      <c r="G7" s="22" t="s">
        <v>15</v>
      </c>
      <c r="H7" s="22" t="s">
        <v>16</v>
      </c>
    </row>
    <row r="8" spans="1:8">
      <c r="A8" s="8"/>
      <c r="B8" s="23"/>
      <c r="C8" s="24"/>
      <c r="D8" s="25"/>
      <c r="E8" s="26"/>
      <c r="F8" s="27"/>
      <c r="G8" s="23"/>
      <c r="H8" s="28"/>
    </row>
    <row r="9" spans="1:8">
      <c r="A9" s="8"/>
      <c r="B9" s="29"/>
      <c r="C9" s="24"/>
      <c r="D9" s="25"/>
      <c r="E9" s="26"/>
      <c r="F9" s="27"/>
      <c r="G9" s="25"/>
      <c r="H9" s="28"/>
    </row>
    <row r="10" spans="1:8">
      <c r="A10" s="8"/>
      <c r="B10" s="29"/>
      <c r="C10" s="24"/>
      <c r="D10" s="25"/>
      <c r="E10" s="26"/>
      <c r="F10" s="27"/>
      <c r="G10" s="25"/>
      <c r="H10" s="28"/>
    </row>
    <row r="11" spans="1:8">
      <c r="A11" s="8"/>
      <c r="B11" s="29"/>
      <c r="C11" s="24"/>
      <c r="D11" s="25"/>
      <c r="E11" s="26"/>
      <c r="F11" s="27"/>
      <c r="G11" s="25"/>
      <c r="H11" s="28"/>
    </row>
    <row r="12" spans="1:8">
      <c r="A12" s="8"/>
      <c r="B12" s="29"/>
      <c r="C12" s="24"/>
      <c r="D12" s="25"/>
      <c r="E12" s="26"/>
      <c r="F12" s="27"/>
      <c r="G12" s="25"/>
      <c r="H12" s="28"/>
    </row>
    <row r="13" spans="1:8">
      <c r="A13" s="8"/>
      <c r="B13" s="29"/>
      <c r="C13" s="24"/>
      <c r="D13" s="25"/>
      <c r="E13" s="26"/>
      <c r="F13" s="27"/>
      <c r="G13" s="25"/>
      <c r="H13" s="28"/>
    </row>
    <row r="14" spans="1:8">
      <c r="A14" s="8"/>
      <c r="B14" s="29"/>
      <c r="C14" s="24"/>
      <c r="D14" s="25"/>
      <c r="E14" s="26"/>
      <c r="F14" s="27"/>
      <c r="G14" s="25"/>
      <c r="H14" s="28"/>
    </row>
    <row r="15" spans="1:8">
      <c r="A15" s="8"/>
      <c r="B15" s="29"/>
      <c r="C15" s="24"/>
      <c r="D15" s="25"/>
      <c r="E15" s="26"/>
      <c r="F15" s="27"/>
      <c r="G15" s="25"/>
      <c r="H15" s="28"/>
    </row>
    <row r="16" spans="1:8">
      <c r="A16" s="8"/>
      <c r="B16" s="29"/>
      <c r="C16" s="24"/>
      <c r="D16" s="25"/>
      <c r="E16" s="26"/>
      <c r="F16" s="27"/>
      <c r="G16" s="25"/>
      <c r="H16" s="28"/>
    </row>
    <row r="17" spans="1:8">
      <c r="A17" s="8"/>
      <c r="B17" s="29"/>
      <c r="C17" s="24"/>
      <c r="D17" s="25"/>
      <c r="E17" s="26"/>
      <c r="F17" s="27"/>
      <c r="G17" s="25"/>
      <c r="H17" s="28"/>
    </row>
    <row r="18" spans="1:8">
      <c r="A18" s="8"/>
      <c r="B18" s="29"/>
      <c r="C18" s="24"/>
      <c r="D18" s="25"/>
      <c r="E18" s="26"/>
      <c r="F18" s="27"/>
      <c r="G18" s="25"/>
      <c r="H18" s="28"/>
    </row>
    <row r="19" spans="1:8">
      <c r="A19" s="8"/>
      <c r="B19" s="8"/>
      <c r="C19" s="8"/>
      <c r="D19" s="8"/>
      <c r="E19" s="8"/>
      <c r="F19" s="8"/>
      <c r="G19" s="8"/>
      <c r="H19" s="6"/>
    </row>
    <row r="20" spans="1:8">
      <c r="A20" s="8"/>
      <c r="B20" s="8"/>
      <c r="C20" s="8"/>
      <c r="D20" s="8"/>
      <c r="E20" s="8"/>
      <c r="F20" s="8"/>
      <c r="G20" s="8"/>
      <c r="H20" s="6"/>
    </row>
    <row r="21" spans="1:8">
      <c r="A21" s="8"/>
      <c r="B21" s="8"/>
      <c r="C21" s="8"/>
      <c r="D21" s="8"/>
      <c r="E21" s="8"/>
      <c r="F21" s="8"/>
      <c r="G21" s="8"/>
      <c r="H21" s="6"/>
    </row>
    <row r="22" spans="1:8">
      <c r="A22" s="8"/>
      <c r="B22" s="8"/>
      <c r="C22" s="8"/>
      <c r="D22" s="8"/>
      <c r="E22" s="8"/>
      <c r="F22" s="8"/>
      <c r="G22" s="8"/>
      <c r="H22" s="6"/>
    </row>
    <row r="23" spans="1:8">
      <c r="A23" s="8"/>
      <c r="B23" s="8"/>
      <c r="C23" s="8"/>
      <c r="D23" s="8"/>
      <c r="E23" s="8"/>
      <c r="F23" s="8"/>
      <c r="G23" s="8"/>
      <c r="H23" s="6"/>
    </row>
    <row r="24" spans="1:8">
      <c r="A24" s="8"/>
      <c r="B24" s="8"/>
      <c r="C24" s="8"/>
      <c r="D24" s="8"/>
      <c r="E24" s="8"/>
      <c r="F24" s="8"/>
      <c r="G24" s="8"/>
      <c r="H24" s="6"/>
    </row>
    <row r="25" spans="1:8">
      <c r="A25" s="8"/>
      <c r="B25" s="8"/>
      <c r="C25" s="8"/>
      <c r="D25" s="8"/>
      <c r="E25" s="8"/>
      <c r="F25" s="8"/>
      <c r="G25" s="8"/>
      <c r="H25" s="6"/>
    </row>
    <row r="26" spans="1:8">
      <c r="A26" s="8"/>
      <c r="B26" s="8"/>
      <c r="C26" s="8"/>
      <c r="D26" s="8"/>
      <c r="E26" s="8"/>
      <c r="F26" s="8"/>
      <c r="G26" s="8"/>
      <c r="H26" s="6"/>
    </row>
  </sheetData>
  <mergeCells count="6">
    <mergeCell ref="B3:C3"/>
    <mergeCell ref="E3:F3"/>
    <mergeCell ref="G3:H3"/>
    <mergeCell ref="B4:C4"/>
    <mergeCell ref="E4:F4"/>
    <mergeCell ref="G4:H4"/>
  </mergeCells>
  <phoneticPr fontId="12"/>
  <pageMargins left="0.7" right="0.7" top="0.75" bottom="0.75" header="0.3" footer="0.3"/>
  <pageSetup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52"/>
  <sheetViews>
    <sheetView tabSelected="1" zoomScale="90" zoomScaleNormal="90" zoomScalePageLayoutView="180" workbookViewId="0">
      <selection activeCell="A44" sqref="A44:X52"/>
    </sheetView>
  </sheetViews>
  <sheetFormatPr defaultColWidth="8.5703125" defaultRowHeight="15.75"/>
  <cols>
    <col min="1" max="1" width="4.7109375" style="13" customWidth="1"/>
    <col min="2" max="2" width="16.7109375" style="13" customWidth="1"/>
    <col min="3" max="3" width="13.7109375" style="13" customWidth="1"/>
    <col min="4" max="7" width="10.28515625" style="13" customWidth="1"/>
    <col min="8" max="8" width="10.28515625" style="14" customWidth="1"/>
    <col min="9" max="12" width="10.28515625" style="13" customWidth="1"/>
    <col min="13" max="13" width="10.28515625" style="14" customWidth="1"/>
    <col min="14" max="17" width="10.28515625" style="13" customWidth="1"/>
    <col min="18" max="19" width="8.5703125" style="14"/>
    <col min="20" max="25" width="8.5703125" style="13"/>
    <col min="26" max="26" width="4.7109375" style="13" customWidth="1"/>
    <col min="27" max="27" width="16.7109375" style="13" customWidth="1"/>
    <col min="28" max="28" width="13.7109375" style="13" customWidth="1"/>
    <col min="29" max="49" width="10.28515625" style="13" customWidth="1"/>
    <col min="50" max="16384" width="8.5703125" style="13"/>
  </cols>
  <sheetData>
    <row r="2" spans="1:24">
      <c r="A2" s="40"/>
      <c r="B2" s="40"/>
      <c r="C2" s="41"/>
      <c r="D2" s="62" t="s">
        <v>17</v>
      </c>
      <c r="E2" s="62"/>
      <c r="F2" s="62"/>
      <c r="G2" s="62"/>
      <c r="H2" s="62"/>
      <c r="I2" s="62"/>
      <c r="J2" s="62"/>
      <c r="K2" s="62" t="s">
        <v>32</v>
      </c>
      <c r="L2" s="62"/>
      <c r="M2" s="62"/>
      <c r="N2" s="62"/>
      <c r="O2" s="62"/>
      <c r="P2" s="62"/>
      <c r="Q2" s="62"/>
    </row>
    <row r="3" spans="1:24" ht="47.25">
      <c r="A3" s="71" t="s">
        <v>61</v>
      </c>
      <c r="B3" s="96"/>
      <c r="C3" s="45"/>
      <c r="D3" s="63" t="s">
        <v>18</v>
      </c>
      <c r="E3" s="63" t="s">
        <v>19</v>
      </c>
      <c r="F3" s="63" t="s">
        <v>20</v>
      </c>
      <c r="G3" s="63" t="s">
        <v>21</v>
      </c>
      <c r="H3" s="63" t="s">
        <v>22</v>
      </c>
      <c r="I3" s="63" t="s">
        <v>51</v>
      </c>
      <c r="J3" s="63" t="s">
        <v>52</v>
      </c>
      <c r="K3" s="63" t="s">
        <v>18</v>
      </c>
      <c r="L3" s="63" t="s">
        <v>19</v>
      </c>
      <c r="M3" s="63" t="s">
        <v>20</v>
      </c>
      <c r="N3" s="63" t="s">
        <v>21</v>
      </c>
      <c r="O3" s="63" t="s">
        <v>22</v>
      </c>
      <c r="P3" s="63" t="s">
        <v>51</v>
      </c>
      <c r="Q3" s="63" t="s">
        <v>52</v>
      </c>
    </row>
    <row r="4" spans="1:24">
      <c r="A4" s="64" t="s">
        <v>23</v>
      </c>
      <c r="B4" s="97"/>
      <c r="C4" s="61" t="s">
        <v>70</v>
      </c>
      <c r="D4" s="65">
        <f>D15+I15+N15</f>
        <v>0</v>
      </c>
      <c r="E4" s="65">
        <f>E15+J15+O15</f>
        <v>0</v>
      </c>
      <c r="F4" s="65">
        <f>F15+K15+P15</f>
        <v>0</v>
      </c>
      <c r="G4" s="65">
        <f>G15+L15+Q15</f>
        <v>0</v>
      </c>
      <c r="H4" s="66">
        <f>H15+M15+R15</f>
        <v>3</v>
      </c>
      <c r="I4" s="67">
        <f>ROUND((D4+E4)*100/(H4-G4),2)</f>
        <v>0</v>
      </c>
      <c r="J4" s="67">
        <f>ROUND(D4*100/(H4-G4),2)</f>
        <v>0</v>
      </c>
      <c r="K4" s="68">
        <f>D26+I26+N26</f>
        <v>0</v>
      </c>
      <c r="L4" s="68">
        <f>E26+J26+O26</f>
        <v>0</v>
      </c>
      <c r="M4" s="68">
        <f>F26+K26+P26</f>
        <v>0</v>
      </c>
      <c r="N4" s="68">
        <f>G26+L26+Q26</f>
        <v>0</v>
      </c>
      <c r="O4" s="69">
        <f>H26+M26+R26</f>
        <v>3</v>
      </c>
      <c r="P4" s="70">
        <f>ROUND((K4+L4)*100/(O4-N4),2)</f>
        <v>0</v>
      </c>
      <c r="Q4" s="70">
        <f>ROUND(K4*100/(O4-N4),2)</f>
        <v>0</v>
      </c>
    </row>
    <row r="5" spans="1:24">
      <c r="A5" s="64"/>
      <c r="B5" s="97"/>
      <c r="C5" s="61" t="s">
        <v>71</v>
      </c>
      <c r="D5" s="65">
        <f>D16+I16+N16</f>
        <v>0</v>
      </c>
      <c r="E5" s="65">
        <f>E16+J16+O16</f>
        <v>0</v>
      </c>
      <c r="F5" s="65">
        <f>F16+K16+P16</f>
        <v>0</v>
      </c>
      <c r="G5" s="65">
        <f>G16+L16+Q16</f>
        <v>0</v>
      </c>
      <c r="H5" s="66">
        <f>H16+M16+R16</f>
        <v>3</v>
      </c>
      <c r="I5" s="67">
        <f>ROUND((D5+E5)*100/(H5-G5),2)</f>
        <v>0</v>
      </c>
      <c r="J5" s="67">
        <f>ROUND(D5*100/(H5-G5),2)</f>
        <v>0</v>
      </c>
      <c r="K5" s="68">
        <f>D27+I27+N27</f>
        <v>0</v>
      </c>
      <c r="L5" s="68">
        <f>E27+J27+O27</f>
        <v>0</v>
      </c>
      <c r="M5" s="68">
        <f>F27+K27+P27</f>
        <v>0</v>
      </c>
      <c r="N5" s="68">
        <f>G27+L27+Q27</f>
        <v>0</v>
      </c>
      <c r="O5" s="69">
        <f>H27+M27+R27</f>
        <v>3</v>
      </c>
      <c r="P5" s="70">
        <f>ROUND((K5+L5)*100/(O5-N5),2)</f>
        <v>0</v>
      </c>
      <c r="Q5" s="70">
        <f>ROUND(K5*100/(O5-N5),2)</f>
        <v>0</v>
      </c>
    </row>
    <row r="6" spans="1:24">
      <c r="A6" s="64"/>
      <c r="B6" s="97"/>
      <c r="C6" s="61" t="s">
        <v>72</v>
      </c>
      <c r="D6" s="65">
        <f>D17+I17+N17</f>
        <v>0</v>
      </c>
      <c r="E6" s="65">
        <f>E17+J17+O17</f>
        <v>0</v>
      </c>
      <c r="F6" s="65">
        <f>F17+K17+P17</f>
        <v>0</v>
      </c>
      <c r="G6" s="65">
        <f>G17+L17+Q17</f>
        <v>0</v>
      </c>
      <c r="H6" s="66">
        <f>H17+M17+R17</f>
        <v>3</v>
      </c>
      <c r="I6" s="67">
        <f>ROUND((D6+E6)*100/(H6-G6),2)</f>
        <v>0</v>
      </c>
      <c r="J6" s="67">
        <f>ROUND(D6*100/(H6-G6),2)</f>
        <v>0</v>
      </c>
      <c r="K6" s="68">
        <f>D28+I28+N28</f>
        <v>0</v>
      </c>
      <c r="L6" s="68">
        <f>E28+J28+O28</f>
        <v>0</v>
      </c>
      <c r="M6" s="68">
        <f>F28+K28+P28</f>
        <v>0</v>
      </c>
      <c r="N6" s="68">
        <f>G28+L28+Q28</f>
        <v>0</v>
      </c>
      <c r="O6" s="69">
        <f>H28+M28+R28</f>
        <v>3</v>
      </c>
      <c r="P6" s="70">
        <f>ROUND((K6+L6)*100/(O6-N6),2)</f>
        <v>0</v>
      </c>
      <c r="Q6" s="70">
        <f>ROUND(K6*100/(O6-N6),2)</f>
        <v>0</v>
      </c>
    </row>
    <row r="7" spans="1:24">
      <c r="A7" s="64"/>
      <c r="B7" s="97"/>
      <c r="C7" s="61" t="s">
        <v>73</v>
      </c>
      <c r="D7" s="65">
        <f>D18+I18+N18</f>
        <v>0</v>
      </c>
      <c r="E7" s="65">
        <f>E18+J18+O18</f>
        <v>0</v>
      </c>
      <c r="F7" s="65">
        <f>F18+K18+P18</f>
        <v>0</v>
      </c>
      <c r="G7" s="65">
        <f>G18+L18+Q18</f>
        <v>0</v>
      </c>
      <c r="H7" s="66">
        <f>H18+M18+R18</f>
        <v>3</v>
      </c>
      <c r="I7" s="67">
        <f>ROUND((D7+E7)*100/(H7-G7),2)</f>
        <v>0</v>
      </c>
      <c r="J7" s="67">
        <f>ROUND(D7*100/(H7-G7),2)</f>
        <v>0</v>
      </c>
      <c r="K7" s="68">
        <f>D29+I29+N29</f>
        <v>0</v>
      </c>
      <c r="L7" s="68">
        <f>E29+J29+O29</f>
        <v>0</v>
      </c>
      <c r="M7" s="68">
        <f>F29+K29+P29</f>
        <v>0</v>
      </c>
      <c r="N7" s="68">
        <f>G29+L29+Q29</f>
        <v>0</v>
      </c>
      <c r="O7" s="69">
        <f>H29+M29+R29</f>
        <v>3</v>
      </c>
      <c r="P7" s="70">
        <f>ROUND((K7+L7)*100/(O7-N7),2)</f>
        <v>0</v>
      </c>
      <c r="Q7" s="70">
        <f>ROUND(K7*100/(O7-N7),2)</f>
        <v>0</v>
      </c>
    </row>
    <row r="8" spans="1:24">
      <c r="A8" s="64"/>
      <c r="B8" s="97"/>
      <c r="C8" s="61" t="s">
        <v>74</v>
      </c>
      <c r="D8" s="65">
        <f>D19+I19+N19</f>
        <v>0</v>
      </c>
      <c r="E8" s="65">
        <f>E19+J19+O19</f>
        <v>0</v>
      </c>
      <c r="F8" s="65">
        <f>F19+K19+P19</f>
        <v>0</v>
      </c>
      <c r="G8" s="65">
        <f>G19+L19+Q19</f>
        <v>0</v>
      </c>
      <c r="H8" s="66">
        <f>H19+M19+R19</f>
        <v>3</v>
      </c>
      <c r="I8" s="67">
        <f>ROUND((D8+E8)*100/(H8-G8),2)</f>
        <v>0</v>
      </c>
      <c r="J8" s="67">
        <f>ROUND(D8*100/(H8-G8),2)</f>
        <v>0</v>
      </c>
      <c r="K8" s="68">
        <f>D30+I30+N30</f>
        <v>0</v>
      </c>
      <c r="L8" s="68">
        <f>E30+J30+O30</f>
        <v>0</v>
      </c>
      <c r="M8" s="68">
        <f>F30+K30+P30</f>
        <v>0</v>
      </c>
      <c r="N8" s="68">
        <f>G30+L30+Q30</f>
        <v>0</v>
      </c>
      <c r="O8" s="69">
        <f>H30+M30+R30</f>
        <v>3</v>
      </c>
      <c r="P8" s="70">
        <f>ROUND((K8+L8)*100/(O8-N8),2)</f>
        <v>0</v>
      </c>
      <c r="Q8" s="70">
        <f>ROUND(K8*100/(O8-N8),2)</f>
        <v>0</v>
      </c>
    </row>
    <row r="9" spans="1:24">
      <c r="A9" s="64"/>
      <c r="B9" s="97"/>
      <c r="C9" s="61" t="s">
        <v>75</v>
      </c>
      <c r="D9" s="65">
        <f>D20+I20+N20</f>
        <v>0</v>
      </c>
      <c r="E9" s="65">
        <f>E20+J20+O20</f>
        <v>0</v>
      </c>
      <c r="F9" s="65">
        <f>F20+K20+P20</f>
        <v>0</v>
      </c>
      <c r="G9" s="65">
        <f>G20+L20+Q20</f>
        <v>0</v>
      </c>
      <c r="H9" s="66">
        <f>H20+M20+R20</f>
        <v>3</v>
      </c>
      <c r="I9" s="67">
        <f>ROUND((D9+E9)*100/(H9-G9),2)</f>
        <v>0</v>
      </c>
      <c r="J9" s="67">
        <f>ROUND(D9*100/(H9-G9),2)</f>
        <v>0</v>
      </c>
      <c r="K9" s="68">
        <f>D31+I31+N31</f>
        <v>0</v>
      </c>
      <c r="L9" s="68">
        <f>E31+J31+O31</f>
        <v>0</v>
      </c>
      <c r="M9" s="68">
        <f>F31+K31+P31</f>
        <v>0</v>
      </c>
      <c r="N9" s="68">
        <f>G31+L31+Q31</f>
        <v>0</v>
      </c>
      <c r="O9" s="69">
        <f>H31+M31+R31</f>
        <v>3</v>
      </c>
      <c r="P9" s="70">
        <f>ROUND((K9+L9)*100/(O9-N9),2)</f>
        <v>0</v>
      </c>
      <c r="Q9" s="70">
        <f>ROUND(K9*100/(O9-N9),2)</f>
        <v>0</v>
      </c>
    </row>
    <row r="11" spans="1:24">
      <c r="A11" s="60" t="s">
        <v>69</v>
      </c>
      <c r="B11" s="98"/>
    </row>
    <row r="12" spans="1:24">
      <c r="A12" s="62" t="s">
        <v>53</v>
      </c>
      <c r="B12" s="62"/>
      <c r="C12" s="62"/>
      <c r="D12" s="62" t="s">
        <v>54</v>
      </c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 t="s">
        <v>55</v>
      </c>
      <c r="T12" s="62"/>
      <c r="U12" s="62"/>
      <c r="V12" s="62" t="s">
        <v>62</v>
      </c>
      <c r="W12" s="62"/>
      <c r="X12" s="62"/>
    </row>
    <row r="13" spans="1:24">
      <c r="A13" s="62"/>
      <c r="B13" s="62"/>
      <c r="C13" s="62"/>
      <c r="D13" s="62" t="s">
        <v>24</v>
      </c>
      <c r="E13" s="62"/>
      <c r="F13" s="62"/>
      <c r="G13" s="62"/>
      <c r="H13" s="62"/>
      <c r="I13" s="62" t="s">
        <v>25</v>
      </c>
      <c r="J13" s="62"/>
      <c r="K13" s="62"/>
      <c r="L13" s="62"/>
      <c r="M13" s="62"/>
      <c r="N13" s="62" t="s">
        <v>26</v>
      </c>
      <c r="O13" s="62"/>
      <c r="P13" s="62"/>
      <c r="Q13" s="62"/>
      <c r="R13" s="62"/>
      <c r="S13" s="62" t="s">
        <v>24</v>
      </c>
      <c r="T13" s="62" t="s">
        <v>25</v>
      </c>
      <c r="U13" s="62" t="s">
        <v>26</v>
      </c>
      <c r="V13" s="62" t="s">
        <v>24</v>
      </c>
      <c r="W13" s="62" t="s">
        <v>25</v>
      </c>
      <c r="X13" s="62" t="s">
        <v>26</v>
      </c>
    </row>
    <row r="14" spans="1:24">
      <c r="A14" s="62"/>
      <c r="B14" s="62"/>
      <c r="C14" s="62"/>
      <c r="D14" s="63" t="s">
        <v>18</v>
      </c>
      <c r="E14" s="63" t="s">
        <v>19</v>
      </c>
      <c r="F14" s="63" t="s">
        <v>20</v>
      </c>
      <c r="G14" s="63" t="s">
        <v>21</v>
      </c>
      <c r="H14" s="63" t="s">
        <v>22</v>
      </c>
      <c r="I14" s="63" t="s">
        <v>18</v>
      </c>
      <c r="J14" s="63" t="s">
        <v>19</v>
      </c>
      <c r="K14" s="63" t="s">
        <v>20</v>
      </c>
      <c r="L14" s="63" t="s">
        <v>21</v>
      </c>
      <c r="M14" s="63" t="s">
        <v>22</v>
      </c>
      <c r="N14" s="63" t="s">
        <v>18</v>
      </c>
      <c r="O14" s="63" t="s">
        <v>19</v>
      </c>
      <c r="P14" s="63" t="s">
        <v>20</v>
      </c>
      <c r="Q14" s="63" t="s">
        <v>21</v>
      </c>
      <c r="R14" s="63" t="s">
        <v>22</v>
      </c>
      <c r="S14" s="62"/>
      <c r="T14" s="62"/>
      <c r="U14" s="62"/>
      <c r="V14" s="62"/>
      <c r="W14" s="62"/>
      <c r="X14" s="62"/>
    </row>
    <row r="15" spans="1:24">
      <c r="A15" s="64" t="s">
        <v>23</v>
      </c>
      <c r="B15" s="97"/>
      <c r="C15" s="61" t="str">
        <f>C4</f>
        <v>EV1</v>
      </c>
      <c r="D15" s="72">
        <f>SUMIF(C37:C42,C15,D37:D42)</f>
        <v>0</v>
      </c>
      <c r="E15" s="72">
        <f>SUMIF(C37:C42,C15,E37:E42)</f>
        <v>0</v>
      </c>
      <c r="F15" s="72">
        <f>SUMIF(C37:C42,C15,F37:F42)</f>
        <v>0</v>
      </c>
      <c r="G15" s="72">
        <f>SUMIF(C37:C42,C15,G37:G42)</f>
        <v>0</v>
      </c>
      <c r="H15" s="73">
        <f>SUMIF(C37:C42,C15,H37:H42)</f>
        <v>1</v>
      </c>
      <c r="I15" s="74">
        <f>SUMIF(C37:C42,C15,I37:I42)</f>
        <v>0</v>
      </c>
      <c r="J15" s="74">
        <f>SUMIF(C37:C42,C15,J37:J42)</f>
        <v>0</v>
      </c>
      <c r="K15" s="74">
        <f>SUMIF(C37:C42,C15,K37:K42)</f>
        <v>0</v>
      </c>
      <c r="L15" s="74">
        <f>SUMIF(C37:C42,C15,L37:L42)</f>
        <v>0</v>
      </c>
      <c r="M15" s="75">
        <f>SUMIF(C37:C42,C15,M37:M42)</f>
        <v>1</v>
      </c>
      <c r="N15" s="76">
        <f>SUMIF(C37:C42,C15,N37:N42)</f>
        <v>0</v>
      </c>
      <c r="O15" s="76">
        <f>SUMIF(C37:C42,C15,O37:O42)</f>
        <v>0</v>
      </c>
      <c r="P15" s="76">
        <f>SUMIF(C37:C42,C15,P37:P42)</f>
        <v>0</v>
      </c>
      <c r="Q15" s="76">
        <f>SUMIF(C37:C42,C15,Q37:Q42)</f>
        <v>0</v>
      </c>
      <c r="R15" s="77">
        <f>SUMIF(C37:C42,C15,R37:R42)</f>
        <v>1</v>
      </c>
      <c r="S15" s="78">
        <f>ROUND((D15+E15)*100/(H15-G15),2)</f>
        <v>0</v>
      </c>
      <c r="T15" s="61">
        <f>ROUND((I15+J15)*100/(M15-L15),2)</f>
        <v>0</v>
      </c>
      <c r="U15" s="61">
        <f>ROUND((N15+O15)*100/(R15-Q15),2)</f>
        <v>0</v>
      </c>
      <c r="V15" s="78">
        <f>ROUND(D15*100/(H15-G15),2)</f>
        <v>0</v>
      </c>
      <c r="W15" s="61">
        <f>ROUND(I15*100/(M15-L15),2)</f>
        <v>0</v>
      </c>
      <c r="X15" s="61">
        <f>ROUND(N15*100/(R15-Q15),2)</f>
        <v>0</v>
      </c>
    </row>
    <row r="16" spans="1:24">
      <c r="A16" s="64"/>
      <c r="B16" s="97"/>
      <c r="C16" s="61" t="str">
        <f>C5</f>
        <v>EV2</v>
      </c>
      <c r="D16" s="72">
        <f>SUMIF(C37:C42,C16,D37:D42)</f>
        <v>0</v>
      </c>
      <c r="E16" s="72">
        <f>SUMIF(C37:C42,C16,E37:E42)</f>
        <v>0</v>
      </c>
      <c r="F16" s="72">
        <f>SUMIF(C37:C42,C16,F37:F42)</f>
        <v>0</v>
      </c>
      <c r="G16" s="72">
        <f>SUMIF(C37:C42,C16,G37:G42)</f>
        <v>0</v>
      </c>
      <c r="H16" s="73">
        <f>SUMIF(C37:C42,C16,H37:H42)</f>
        <v>1</v>
      </c>
      <c r="I16" s="74">
        <f>SUMIF(C37:C42,C16,I37:I42)</f>
        <v>0</v>
      </c>
      <c r="J16" s="74">
        <f>SUMIF(C37:C42,C16,J37:J42)</f>
        <v>0</v>
      </c>
      <c r="K16" s="74">
        <f>SUMIF(C37:C42,C16,K37:K42)</f>
        <v>0</v>
      </c>
      <c r="L16" s="74">
        <f>SUMIF(C37:C42,C16,L37:L42)</f>
        <v>0</v>
      </c>
      <c r="M16" s="75">
        <f>SUMIF(C37:C42,C16,M37:M42)</f>
        <v>1</v>
      </c>
      <c r="N16" s="76">
        <f>SUMIF(C37:C42,C16,N37:N42)</f>
        <v>0</v>
      </c>
      <c r="O16" s="76">
        <f>SUMIF(C37:C42,C16,O37:O42)</f>
        <v>0</v>
      </c>
      <c r="P16" s="76">
        <f>SUMIF(C37:C42,C16,P37:P42)</f>
        <v>0</v>
      </c>
      <c r="Q16" s="76">
        <f>SUMIF(C37:C42,C16,Q37:Q42)</f>
        <v>0</v>
      </c>
      <c r="R16" s="77">
        <f>SUMIF(C37:C42,C16,R37:R42)</f>
        <v>1</v>
      </c>
      <c r="S16" s="78">
        <f>ROUND((D16+E16)*100/(H16-G16),2)</f>
        <v>0</v>
      </c>
      <c r="T16" s="61">
        <f>ROUND((I16+J16)*100/(M16-L16),2)</f>
        <v>0</v>
      </c>
      <c r="U16" s="61">
        <f>ROUND((N16+O16)*100/(R16-Q16),2)</f>
        <v>0</v>
      </c>
      <c r="V16" s="78">
        <f>ROUND(D16*100/(H16-G16),2)</f>
        <v>0</v>
      </c>
      <c r="W16" s="61">
        <f>ROUND(I16*100/(M16-L16),2)</f>
        <v>0</v>
      </c>
      <c r="X16" s="61">
        <f>ROUND(N16*100/(R16-Q16),2)</f>
        <v>0</v>
      </c>
    </row>
    <row r="17" spans="1:24">
      <c r="A17" s="64"/>
      <c r="B17" s="97"/>
      <c r="C17" s="61" t="str">
        <f>C6</f>
        <v>EV3</v>
      </c>
      <c r="D17" s="72">
        <f>SUMIF(C37:C42,C17,D37:D42)</f>
        <v>0</v>
      </c>
      <c r="E17" s="72">
        <f>SUMIF(C37:C42,C17,E37:E42)</f>
        <v>0</v>
      </c>
      <c r="F17" s="72">
        <f>SUMIF(C37:C42,C17,F37:F42)</f>
        <v>0</v>
      </c>
      <c r="G17" s="72">
        <f>SUMIF(C37:C42,C17,G37:G42)</f>
        <v>0</v>
      </c>
      <c r="H17" s="73">
        <f>SUMIF(C37:C42,C17,H37:H42)</f>
        <v>1</v>
      </c>
      <c r="I17" s="74">
        <f>SUMIF(C37:C42,C17,I37:I42)</f>
        <v>0</v>
      </c>
      <c r="J17" s="74">
        <f>SUMIF(C37:C42,C17,J37:J42)</f>
        <v>0</v>
      </c>
      <c r="K17" s="74">
        <f>SUMIF(C37:C42,C17,K37:K42)</f>
        <v>0</v>
      </c>
      <c r="L17" s="74">
        <f>SUMIF(C37:C42,C17,L37:L42)</f>
        <v>0</v>
      </c>
      <c r="M17" s="75">
        <f>SUMIF(C37:C42,C17,M37:M42)</f>
        <v>1</v>
      </c>
      <c r="N17" s="76">
        <f>SUMIF(C37:C42,C17,N37:N42)</f>
        <v>0</v>
      </c>
      <c r="O17" s="76">
        <f>SUMIF(C37:C42,C17,O37:O42)</f>
        <v>0</v>
      </c>
      <c r="P17" s="76">
        <f>SUMIF(C37:C42,C17,P37:P42)</f>
        <v>0</v>
      </c>
      <c r="Q17" s="76">
        <f>SUMIF(C37:C42,C17,Q37:Q42)</f>
        <v>0</v>
      </c>
      <c r="R17" s="77">
        <f>SUMIF(C37:C42,C17,R37:R42)</f>
        <v>1</v>
      </c>
      <c r="S17" s="78">
        <f>ROUND((D17+E17)*100/(H17-G17),2)</f>
        <v>0</v>
      </c>
      <c r="T17" s="61">
        <f>ROUND((I17+J17)*100/(M17-L17),2)</f>
        <v>0</v>
      </c>
      <c r="U17" s="61">
        <f>ROUND((N17+O17)*100/(R17-Q17),2)</f>
        <v>0</v>
      </c>
      <c r="V17" s="78">
        <f>ROUND(D17*100/(H17-G17),2)</f>
        <v>0</v>
      </c>
      <c r="W17" s="61">
        <f>ROUND(I17*100/(M17-L17),2)</f>
        <v>0</v>
      </c>
      <c r="X17" s="61">
        <f>ROUND(N17*100/(R17-Q17),2)</f>
        <v>0</v>
      </c>
    </row>
    <row r="18" spans="1:24">
      <c r="A18" s="64"/>
      <c r="B18" s="97"/>
      <c r="C18" s="61" t="str">
        <f>C7</f>
        <v>EV4</v>
      </c>
      <c r="D18" s="72">
        <f>SUMIF(C37:C42,C18,D37:D42)</f>
        <v>0</v>
      </c>
      <c r="E18" s="72">
        <f>SUMIF(C37:C42,C18,E37:E42)</f>
        <v>0</v>
      </c>
      <c r="F18" s="72">
        <f>SUMIF(C37:C42,C18,F37:F42)</f>
        <v>0</v>
      </c>
      <c r="G18" s="72">
        <f>SUMIF(C37:C42,C18,G37:G42)</f>
        <v>0</v>
      </c>
      <c r="H18" s="73">
        <f>SUMIF(C37:C42,C18,H37:H42)</f>
        <v>1</v>
      </c>
      <c r="I18" s="74">
        <f>SUMIF(C37:C42,C18,I37:I42)</f>
        <v>0</v>
      </c>
      <c r="J18" s="74">
        <f>SUMIF(C37:C42,C18,J37:J42)</f>
        <v>0</v>
      </c>
      <c r="K18" s="74">
        <f>SUMIF(C37:C42,C18,K37:K42)</f>
        <v>0</v>
      </c>
      <c r="L18" s="74">
        <f>SUMIF(C37:C42,C18,L37:L42)</f>
        <v>0</v>
      </c>
      <c r="M18" s="75">
        <f>SUMIF(C37:C42,C18,M37:M42)</f>
        <v>1</v>
      </c>
      <c r="N18" s="76">
        <f>SUMIF(C37:C42,C18,N37:N42)</f>
        <v>0</v>
      </c>
      <c r="O18" s="76">
        <f>SUMIF(C37:C42,C18,O37:O42)</f>
        <v>0</v>
      </c>
      <c r="P18" s="76">
        <f>SUMIF(C37:C42,C18,P37:P42)</f>
        <v>0</v>
      </c>
      <c r="Q18" s="76">
        <f>SUMIF(C37:C42,C18,Q37:Q42)</f>
        <v>0</v>
      </c>
      <c r="R18" s="77">
        <f>SUMIF(C37:C42,C18,R37:R42)</f>
        <v>1</v>
      </c>
      <c r="S18" s="78">
        <f>ROUND((D18+E18)*100/(H18-G18),2)</f>
        <v>0</v>
      </c>
      <c r="T18" s="61">
        <f>ROUND((I18+J18)*100/(M18-L18),2)</f>
        <v>0</v>
      </c>
      <c r="U18" s="61">
        <f>ROUND((N18+O18)*100/(R18-Q18),2)</f>
        <v>0</v>
      </c>
      <c r="V18" s="78">
        <f>ROUND(D18*100/(H18-G18),2)</f>
        <v>0</v>
      </c>
      <c r="W18" s="61">
        <f>ROUND(I18*100/(M18-L18),2)</f>
        <v>0</v>
      </c>
      <c r="X18" s="61">
        <f>ROUND(N18*100/(R18-Q18),2)</f>
        <v>0</v>
      </c>
    </row>
    <row r="19" spans="1:24">
      <c r="A19" s="64"/>
      <c r="B19" s="97"/>
      <c r="C19" s="61" t="str">
        <f>C8</f>
        <v>EV5</v>
      </c>
      <c r="D19" s="72">
        <f>SUMIF(C37:C42,C19,D37:D42)</f>
        <v>0</v>
      </c>
      <c r="E19" s="72">
        <f>SUMIF(C37:C42,C19,E37:E42)</f>
        <v>0</v>
      </c>
      <c r="F19" s="72">
        <f>SUMIF(C37:C42,C19,F37:F42)</f>
        <v>0</v>
      </c>
      <c r="G19" s="72">
        <f>SUMIF(C37:C42,C19,G37:G42)</f>
        <v>0</v>
      </c>
      <c r="H19" s="73">
        <f>SUMIF(C37:C42,C19,H37:H42)</f>
        <v>1</v>
      </c>
      <c r="I19" s="74">
        <f>SUMIF(C37:C42,C19,I37:I42)</f>
        <v>0</v>
      </c>
      <c r="J19" s="74">
        <f>SUMIF(C37:C42,C19,J37:J42)</f>
        <v>0</v>
      </c>
      <c r="K19" s="74">
        <f>SUMIF(C37:C42,C19,K37:K42)</f>
        <v>0</v>
      </c>
      <c r="L19" s="74">
        <f>SUMIF(C37:C42,C19,L37:L42)</f>
        <v>0</v>
      </c>
      <c r="M19" s="75">
        <f>SUMIF(C37:C42,C19,M37:M42)</f>
        <v>1</v>
      </c>
      <c r="N19" s="76">
        <f>SUMIF(C37:C42,C19,N37:N42)</f>
        <v>0</v>
      </c>
      <c r="O19" s="76">
        <f>SUMIF(C37:C42,C19,O37:O42)</f>
        <v>0</v>
      </c>
      <c r="P19" s="76">
        <f>SUMIF(C37:C42,C19,P37:P42)</f>
        <v>0</v>
      </c>
      <c r="Q19" s="76">
        <f>SUMIF(C37:C42,C19,Q37:Q42)</f>
        <v>0</v>
      </c>
      <c r="R19" s="77">
        <f>SUMIF(C37:C42,C19,R37:R42)</f>
        <v>1</v>
      </c>
      <c r="S19" s="78">
        <f>ROUND((D19+E19)*100/(H19-G19),2)</f>
        <v>0</v>
      </c>
      <c r="T19" s="61">
        <f>ROUND((I19+J19)*100/(M19-L19),2)</f>
        <v>0</v>
      </c>
      <c r="U19" s="61">
        <f>ROUND((N19+O19)*100/(R19-Q19),2)</f>
        <v>0</v>
      </c>
      <c r="V19" s="78">
        <f>ROUND(D19*100/(H19-G19),2)</f>
        <v>0</v>
      </c>
      <c r="W19" s="61">
        <f>ROUND(I19*100/(M19-L19),2)</f>
        <v>0</v>
      </c>
      <c r="X19" s="61">
        <f>ROUND(N19*100/(R19-Q19),2)</f>
        <v>0</v>
      </c>
    </row>
    <row r="20" spans="1:24">
      <c r="A20" s="64"/>
      <c r="B20" s="97"/>
      <c r="C20" s="61" t="str">
        <f>C9</f>
        <v>EV6</v>
      </c>
      <c r="D20" s="72">
        <f>SUMIF(C37:C42,C20,D37:D42)</f>
        <v>0</v>
      </c>
      <c r="E20" s="72">
        <f>SUMIF(C37:C42,C20,E37:E42)</f>
        <v>0</v>
      </c>
      <c r="F20" s="72">
        <f>SUMIF(C37:C42,C20,F37:F42)</f>
        <v>0</v>
      </c>
      <c r="G20" s="72">
        <f>SUMIF(C37:C42,C20,G37:G42)</f>
        <v>0</v>
      </c>
      <c r="H20" s="73">
        <f>SUMIF(C37:C42,C20,H37:H42)</f>
        <v>1</v>
      </c>
      <c r="I20" s="74">
        <f>SUMIF(C37:C42,C20,I37:I42)</f>
        <v>0</v>
      </c>
      <c r="J20" s="74">
        <f>SUMIF(C37:C42,C20,J37:J42)</f>
        <v>0</v>
      </c>
      <c r="K20" s="74">
        <f>SUMIF(C37:C42,C20,K37:K42)</f>
        <v>0</v>
      </c>
      <c r="L20" s="74">
        <f>SUMIF(C37:C42,C20,L37:L42)</f>
        <v>0</v>
      </c>
      <c r="M20" s="75">
        <f>SUMIF(C37:C42,C20,M37:M42)</f>
        <v>1</v>
      </c>
      <c r="N20" s="76">
        <f>SUMIF(C37:C42,C20,N37:N42)</f>
        <v>0</v>
      </c>
      <c r="O20" s="76">
        <f>SUMIF(C37:C42,C20,O37:O42)</f>
        <v>0</v>
      </c>
      <c r="P20" s="76">
        <f>SUMIF(C37:C42,C20,P37:P42)</f>
        <v>0</v>
      </c>
      <c r="Q20" s="76">
        <f>SUMIF(C37:C42,C20,Q37:Q42)</f>
        <v>0</v>
      </c>
      <c r="R20" s="77">
        <f>SUMIF(C37:C42,C20,R37:R42)</f>
        <v>1</v>
      </c>
      <c r="S20" s="78">
        <f>ROUND((D20+E20)*100/(H20-G20),2)</f>
        <v>0</v>
      </c>
      <c r="T20" s="61">
        <f>ROUND((I20+J20)*100/(M20-L20),2)</f>
        <v>0</v>
      </c>
      <c r="U20" s="61">
        <f>ROUND((N20+O20)*100/(R20-Q20),2)</f>
        <v>0</v>
      </c>
      <c r="V20" s="78">
        <f>ROUND(D20*100/(H20-G20),2)</f>
        <v>0</v>
      </c>
      <c r="W20" s="61">
        <f>ROUND(I20*100/(M20-L20),2)</f>
        <v>0</v>
      </c>
      <c r="X20" s="61">
        <f>ROUND(N20*100/(R20-Q20),2)</f>
        <v>0</v>
      </c>
    </row>
    <row r="21" spans="1:24">
      <c r="A21" s="79" t="s">
        <v>56</v>
      </c>
      <c r="B21" s="79"/>
      <c r="C21" s="79"/>
      <c r="D21" s="80">
        <f>SUM(D15:D20)</f>
        <v>0</v>
      </c>
      <c r="E21" s="80">
        <f>SUM(E15:E20)</f>
        <v>0</v>
      </c>
      <c r="F21" s="80">
        <f>SUM(F15:F20)</f>
        <v>0</v>
      </c>
      <c r="G21" s="80">
        <f>SUM(G15:G20)</f>
        <v>0</v>
      </c>
      <c r="H21" s="80">
        <f>SUM(H15:H20)</f>
        <v>6</v>
      </c>
      <c r="I21" s="80">
        <f>SUM(I15:I20)</f>
        <v>0</v>
      </c>
      <c r="J21" s="80">
        <f>SUM(J15:J20)</f>
        <v>0</v>
      </c>
      <c r="K21" s="80">
        <f>SUM(K15:K20)</f>
        <v>0</v>
      </c>
      <c r="L21" s="80">
        <f>SUM(L15:L20)</f>
        <v>0</v>
      </c>
      <c r="M21" s="80">
        <f>SUM(M15:M20)</f>
        <v>6</v>
      </c>
      <c r="N21" s="80">
        <f>SUM(N15:N20)</f>
        <v>0</v>
      </c>
      <c r="O21" s="80">
        <f>SUM(O15:O20)</f>
        <v>0</v>
      </c>
      <c r="P21" s="80">
        <f>SUM(P15:P20)</f>
        <v>0</v>
      </c>
      <c r="Q21" s="80">
        <f>SUM(Q15:Q20)</f>
        <v>0</v>
      </c>
      <c r="R21" s="80">
        <f>SUM(R15:R20)</f>
        <v>6</v>
      </c>
      <c r="S21" s="80">
        <f>ROUND(AVERAGE(S15:S20),2)</f>
        <v>0</v>
      </c>
      <c r="T21" s="80">
        <f>ROUND(AVERAGE(T15:T20),2)</f>
        <v>0</v>
      </c>
      <c r="U21" s="80">
        <f>ROUND(AVERAGE(U15:U20),2)</f>
        <v>0</v>
      </c>
      <c r="V21" s="80">
        <f>ROUND(AVERAGE(V15:V20),2)</f>
        <v>0</v>
      </c>
      <c r="W21" s="80">
        <f>ROUND(AVERAGE(W15:W20),2)</f>
        <v>0</v>
      </c>
      <c r="X21" s="80">
        <f>ROUND(AVERAGE(X15:X20),2)</f>
        <v>0</v>
      </c>
    </row>
    <row r="23" spans="1:24">
      <c r="A23" s="62" t="s">
        <v>32</v>
      </c>
      <c r="B23" s="62"/>
      <c r="C23" s="62"/>
      <c r="D23" s="62" t="s">
        <v>54</v>
      </c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 t="s">
        <v>55</v>
      </c>
      <c r="T23" s="62"/>
      <c r="U23" s="62"/>
      <c r="V23" s="62" t="s">
        <v>62</v>
      </c>
      <c r="W23" s="62"/>
      <c r="X23" s="62"/>
    </row>
    <row r="24" spans="1:24">
      <c r="A24" s="62"/>
      <c r="B24" s="62"/>
      <c r="C24" s="62"/>
      <c r="D24" s="62" t="s">
        <v>24</v>
      </c>
      <c r="E24" s="62"/>
      <c r="F24" s="62"/>
      <c r="G24" s="62"/>
      <c r="H24" s="62"/>
      <c r="I24" s="62" t="s">
        <v>25</v>
      </c>
      <c r="J24" s="62"/>
      <c r="K24" s="62"/>
      <c r="L24" s="62"/>
      <c r="M24" s="62"/>
      <c r="N24" s="62" t="s">
        <v>26</v>
      </c>
      <c r="O24" s="62"/>
      <c r="P24" s="62"/>
      <c r="Q24" s="62"/>
      <c r="R24" s="62"/>
      <c r="S24" s="62" t="s">
        <v>24</v>
      </c>
      <c r="T24" s="62" t="s">
        <v>25</v>
      </c>
      <c r="U24" s="62" t="s">
        <v>26</v>
      </c>
      <c r="V24" s="62" t="s">
        <v>24</v>
      </c>
      <c r="W24" s="62" t="s">
        <v>25</v>
      </c>
      <c r="X24" s="62" t="s">
        <v>26</v>
      </c>
    </row>
    <row r="25" spans="1:24">
      <c r="A25" s="62"/>
      <c r="B25" s="62"/>
      <c r="C25" s="62"/>
      <c r="D25" s="63" t="s">
        <v>18</v>
      </c>
      <c r="E25" s="63" t="s">
        <v>19</v>
      </c>
      <c r="F25" s="63" t="s">
        <v>20</v>
      </c>
      <c r="G25" s="63" t="s">
        <v>21</v>
      </c>
      <c r="H25" s="63" t="s">
        <v>22</v>
      </c>
      <c r="I25" s="63" t="s">
        <v>18</v>
      </c>
      <c r="J25" s="63" t="s">
        <v>19</v>
      </c>
      <c r="K25" s="63" t="s">
        <v>20</v>
      </c>
      <c r="L25" s="63" t="s">
        <v>21</v>
      </c>
      <c r="M25" s="63" t="s">
        <v>22</v>
      </c>
      <c r="N25" s="63" t="s">
        <v>18</v>
      </c>
      <c r="O25" s="63" t="s">
        <v>19</v>
      </c>
      <c r="P25" s="63" t="s">
        <v>20</v>
      </c>
      <c r="Q25" s="63" t="s">
        <v>21</v>
      </c>
      <c r="R25" s="63" t="s">
        <v>22</v>
      </c>
      <c r="S25" s="62"/>
      <c r="T25" s="62"/>
      <c r="U25" s="62"/>
      <c r="V25" s="62"/>
      <c r="W25" s="62"/>
      <c r="X25" s="62"/>
    </row>
    <row r="26" spans="1:24">
      <c r="A26" s="64" t="s">
        <v>23</v>
      </c>
      <c r="B26" s="97"/>
      <c r="C26" s="61" t="str">
        <f>C4</f>
        <v>EV1</v>
      </c>
      <c r="D26" s="72">
        <f>SUMIF(C47:C52,C26,D47:D52)</f>
        <v>0</v>
      </c>
      <c r="E26" s="72">
        <f>SUMIF(C47:C52,C26,E47:E52)</f>
        <v>0</v>
      </c>
      <c r="F26" s="72">
        <f>SUMIF(C47:C52,C26,F47:F52)</f>
        <v>0</v>
      </c>
      <c r="G26" s="72">
        <f>SUMIF(C47:C52,C26,G47:G52)</f>
        <v>0</v>
      </c>
      <c r="H26" s="73">
        <f>SUMIF(C47:C52,C26,H47:H52)</f>
        <v>1</v>
      </c>
      <c r="I26" s="74">
        <f>SUMIF(C47:C52,C26,I47:I52)</f>
        <v>0</v>
      </c>
      <c r="J26" s="74">
        <f>SUMIF(C47:C52,C26,J47:J52)</f>
        <v>0</v>
      </c>
      <c r="K26" s="74">
        <f>SUMIF(C47:C52,C26,K47:K52)</f>
        <v>0</v>
      </c>
      <c r="L26" s="74">
        <f>SUMIF(C47:C52,C26,L47:L52)</f>
        <v>0</v>
      </c>
      <c r="M26" s="75">
        <f>SUMIF(C47:C52,C26,M47:M52)</f>
        <v>1</v>
      </c>
      <c r="N26" s="76">
        <f>SUMIF(C47:C52,C26,N47:N52)</f>
        <v>0</v>
      </c>
      <c r="O26" s="76">
        <f>SUMIF(C47:C52,C26,O47:O52)</f>
        <v>0</v>
      </c>
      <c r="P26" s="76">
        <f>SUMIF(C47:C52,C26,P47:P52)</f>
        <v>0</v>
      </c>
      <c r="Q26" s="76">
        <f>SUMIF(C47:C52,C26,Q47:Q52)</f>
        <v>0</v>
      </c>
      <c r="R26" s="77">
        <f>SUMIF(C47:C52,C26,R47:R52)</f>
        <v>1</v>
      </c>
      <c r="S26" s="78">
        <f>ROUND((D26+E26)*100/(H26-G26),2)</f>
        <v>0</v>
      </c>
      <c r="T26" s="61">
        <f>ROUND((I26+J26)*100/(M26-L26),2)</f>
        <v>0</v>
      </c>
      <c r="U26" s="61">
        <f>ROUND((N26+O26)*100/(R26-Q26),2)</f>
        <v>0</v>
      </c>
      <c r="V26" s="78">
        <f>ROUND(D26*100/(H26-G26),2)</f>
        <v>0</v>
      </c>
      <c r="W26" s="61">
        <f>ROUND(I26*100/(M26-L26),2)</f>
        <v>0</v>
      </c>
      <c r="X26" s="61">
        <f>ROUND(N26*100/(R26-Q26),2)</f>
        <v>0</v>
      </c>
    </row>
    <row r="27" spans="1:24">
      <c r="A27" s="64"/>
      <c r="B27" s="97"/>
      <c r="C27" s="61" t="str">
        <f>C5</f>
        <v>EV2</v>
      </c>
      <c r="D27" s="72">
        <f>SUMIF(C47:C52,C27,D47:D52)</f>
        <v>0</v>
      </c>
      <c r="E27" s="72">
        <f>SUMIF(C47:C52,C27,E47:E52)</f>
        <v>0</v>
      </c>
      <c r="F27" s="72">
        <f>SUMIF(C47:C52,C27,F47:F52)</f>
        <v>0</v>
      </c>
      <c r="G27" s="72">
        <f>SUMIF(C47:C52,C27,G47:G52)</f>
        <v>0</v>
      </c>
      <c r="H27" s="73">
        <f>SUMIF(C47:C52,C27,H47:H52)</f>
        <v>1</v>
      </c>
      <c r="I27" s="74">
        <f>SUMIF(C47:C52,C27,I47:I52)</f>
        <v>0</v>
      </c>
      <c r="J27" s="74">
        <f>SUMIF(C47:C52,C27,J47:J52)</f>
        <v>0</v>
      </c>
      <c r="K27" s="74">
        <f>SUMIF(C47:C52,C27,K47:K52)</f>
        <v>0</v>
      </c>
      <c r="L27" s="74">
        <f>SUMIF(C47:C52,C27,L47:L52)</f>
        <v>0</v>
      </c>
      <c r="M27" s="75">
        <f>SUMIF(C47:C52,C27,M47:M52)</f>
        <v>1</v>
      </c>
      <c r="N27" s="76">
        <f>SUMIF(C47:C52,C27,N47:N52)</f>
        <v>0</v>
      </c>
      <c r="O27" s="76">
        <f>SUMIF(C47:C52,C27,O47:O52)</f>
        <v>0</v>
      </c>
      <c r="P27" s="76">
        <f>SUMIF(C47:C52,C27,P47:P52)</f>
        <v>0</v>
      </c>
      <c r="Q27" s="76">
        <f>SUMIF(C47:C52,C27,Q47:Q52)</f>
        <v>0</v>
      </c>
      <c r="R27" s="77">
        <f>SUMIF(C47:C52,C27,R47:R52)</f>
        <v>1</v>
      </c>
      <c r="S27" s="78">
        <f>ROUND((D27+E27)*100/(H27-G27),2)</f>
        <v>0</v>
      </c>
      <c r="T27" s="61">
        <f>ROUND((I27+J27)*100/(M27-L27),2)</f>
        <v>0</v>
      </c>
      <c r="U27" s="61">
        <f>ROUND((N27+O27)*100/(R27-Q27),2)</f>
        <v>0</v>
      </c>
      <c r="V27" s="78">
        <f>ROUND(D27*100/(H27-G27),2)</f>
        <v>0</v>
      </c>
      <c r="W27" s="61">
        <f>ROUND(I27*100/(M27-L27),2)</f>
        <v>0</v>
      </c>
      <c r="X27" s="61">
        <f>ROUND(N27*100/(R27-Q27),2)</f>
        <v>0</v>
      </c>
    </row>
    <row r="28" spans="1:24">
      <c r="A28" s="64"/>
      <c r="B28" s="97"/>
      <c r="C28" s="61" t="str">
        <f>C6</f>
        <v>EV3</v>
      </c>
      <c r="D28" s="72">
        <f>SUMIF(C47:C52,C28,D47:D52)</f>
        <v>0</v>
      </c>
      <c r="E28" s="72">
        <f>SUMIF(C47:C52,C28,E47:E52)</f>
        <v>0</v>
      </c>
      <c r="F28" s="72">
        <f>SUMIF(C47:C52,C28,F47:F52)</f>
        <v>0</v>
      </c>
      <c r="G28" s="72">
        <f>SUMIF(C47:C52,C28,G47:G52)</f>
        <v>0</v>
      </c>
      <c r="H28" s="73">
        <f>SUMIF(C47:C52,C28,H47:H52)</f>
        <v>1</v>
      </c>
      <c r="I28" s="74">
        <f>SUMIF(C47:C52,C28,I47:I52)</f>
        <v>0</v>
      </c>
      <c r="J28" s="74">
        <f>SUMIF(C47:C52,C28,J47:J52)</f>
        <v>0</v>
      </c>
      <c r="K28" s="74">
        <f>SUMIF(C47:C52,C28,K47:K52)</f>
        <v>0</v>
      </c>
      <c r="L28" s="74">
        <f>SUMIF(C47:C52,C28,L47:L52)</f>
        <v>0</v>
      </c>
      <c r="M28" s="75">
        <f>SUMIF(C47:C52,C28,M47:M52)</f>
        <v>1</v>
      </c>
      <c r="N28" s="76">
        <f>SUMIF(C47:C52,C28,N47:N52)</f>
        <v>0</v>
      </c>
      <c r="O28" s="76">
        <f>SUMIF(C47:C52,C28,O47:O52)</f>
        <v>0</v>
      </c>
      <c r="P28" s="76">
        <f>SUMIF(C47:C52,C28,P47:P52)</f>
        <v>0</v>
      </c>
      <c r="Q28" s="76">
        <f>SUMIF(C47:C52,C28,Q47:Q52)</f>
        <v>0</v>
      </c>
      <c r="R28" s="77">
        <f>SUMIF(C47:C52,C28,R47:R52)</f>
        <v>1</v>
      </c>
      <c r="S28" s="78">
        <f>ROUND((D28+E28)*100/(H28-G28),2)</f>
        <v>0</v>
      </c>
      <c r="T28" s="61">
        <f>ROUND((I28+J28)*100/(M28-L28),2)</f>
        <v>0</v>
      </c>
      <c r="U28" s="61">
        <f>ROUND((N28+O28)*100/(R28-Q28),2)</f>
        <v>0</v>
      </c>
      <c r="V28" s="78">
        <f>ROUND(D28*100/(H28-G28),2)</f>
        <v>0</v>
      </c>
      <c r="W28" s="61">
        <f>ROUND(I28*100/(M28-L28),2)</f>
        <v>0</v>
      </c>
      <c r="X28" s="61">
        <f>ROUND(N28*100/(R28-Q28),2)</f>
        <v>0</v>
      </c>
    </row>
    <row r="29" spans="1:24">
      <c r="A29" s="64"/>
      <c r="B29" s="97"/>
      <c r="C29" s="61" t="str">
        <f>C7</f>
        <v>EV4</v>
      </c>
      <c r="D29" s="72">
        <f>SUMIF(C47:C52,C29,D47:D52)</f>
        <v>0</v>
      </c>
      <c r="E29" s="72">
        <f>SUMIF(C47:C52,C29,E47:E52)</f>
        <v>0</v>
      </c>
      <c r="F29" s="72">
        <f>SUMIF(C47:C52,C29,F47:F52)</f>
        <v>0</v>
      </c>
      <c r="G29" s="72">
        <f>SUMIF(C47:C52,C29,G47:G52)</f>
        <v>0</v>
      </c>
      <c r="H29" s="73">
        <f>SUMIF(C47:C52,C29,H47:H52)</f>
        <v>1</v>
      </c>
      <c r="I29" s="74">
        <f>SUMIF(C47:C52,C29,I47:I52)</f>
        <v>0</v>
      </c>
      <c r="J29" s="74">
        <f>SUMIF(C47:C52,C29,J47:J52)</f>
        <v>0</v>
      </c>
      <c r="K29" s="74">
        <f>SUMIF(C47:C52,C29,K47:K52)</f>
        <v>0</v>
      </c>
      <c r="L29" s="74">
        <f>SUMIF(C47:C52,C29,L47:L52)</f>
        <v>0</v>
      </c>
      <c r="M29" s="75">
        <f>SUMIF(C47:C52,C29,M47:M52)</f>
        <v>1</v>
      </c>
      <c r="N29" s="76">
        <f>SUMIF(C47:C52,C29,N47:N52)</f>
        <v>0</v>
      </c>
      <c r="O29" s="76">
        <f>SUMIF(C47:C52,C29,O47:O52)</f>
        <v>0</v>
      </c>
      <c r="P29" s="76">
        <f>SUMIF(C47:C52,C29,P47:P52)</f>
        <v>0</v>
      </c>
      <c r="Q29" s="76">
        <f>SUMIF(C47:C52,C29,Q47:Q52)</f>
        <v>0</v>
      </c>
      <c r="R29" s="77">
        <f>SUMIF(C47:C52,C29,R47:R52)</f>
        <v>1</v>
      </c>
      <c r="S29" s="78">
        <f>ROUND((D29+E29)*100/(H29-G29),2)</f>
        <v>0</v>
      </c>
      <c r="T29" s="61">
        <f>ROUND((I29+J29)*100/(M29-L29),2)</f>
        <v>0</v>
      </c>
      <c r="U29" s="61">
        <f>ROUND((N29+O29)*100/(R29-Q29),2)</f>
        <v>0</v>
      </c>
      <c r="V29" s="78">
        <f>ROUND(D29*100/(H29-G29),2)</f>
        <v>0</v>
      </c>
      <c r="W29" s="61">
        <f>ROUND(I29*100/(M29-L29),2)</f>
        <v>0</v>
      </c>
      <c r="X29" s="61">
        <f>ROUND(N29*100/(R29-Q29),2)</f>
        <v>0</v>
      </c>
    </row>
    <row r="30" spans="1:24">
      <c r="A30" s="64"/>
      <c r="B30" s="97"/>
      <c r="C30" s="61" t="str">
        <f>C8</f>
        <v>EV5</v>
      </c>
      <c r="D30" s="72">
        <f>SUMIF(C47:C52,C30,D47:D52)</f>
        <v>0</v>
      </c>
      <c r="E30" s="72">
        <f>SUMIF(C47:C52,C30,E47:E52)</f>
        <v>0</v>
      </c>
      <c r="F30" s="72">
        <f>SUMIF(C47:C52,C30,F47:F52)</f>
        <v>0</v>
      </c>
      <c r="G30" s="72">
        <f>SUMIF(C47:C52,C30,G47:G52)</f>
        <v>0</v>
      </c>
      <c r="H30" s="73">
        <f>SUMIF(C47:C52,C30,H47:H52)</f>
        <v>1</v>
      </c>
      <c r="I30" s="74">
        <f>SUMIF(C47:C52,C30,I47:I52)</f>
        <v>0</v>
      </c>
      <c r="J30" s="74">
        <f>SUMIF(C47:C52,C30,J47:J52)</f>
        <v>0</v>
      </c>
      <c r="K30" s="74">
        <f>SUMIF(C47:C52,C30,K47:K52)</f>
        <v>0</v>
      </c>
      <c r="L30" s="74">
        <f>SUMIF(C47:C52,C30,L47:L52)</f>
        <v>0</v>
      </c>
      <c r="M30" s="75">
        <f>SUMIF(C47:C52,C30,M47:M52)</f>
        <v>1</v>
      </c>
      <c r="N30" s="76">
        <f>SUMIF(C47:C52,C30,N47:N52)</f>
        <v>0</v>
      </c>
      <c r="O30" s="76">
        <f>SUMIF(C47:C52,C30,O47:O52)</f>
        <v>0</v>
      </c>
      <c r="P30" s="76">
        <f>SUMIF(C47:C52,C30,P47:P52)</f>
        <v>0</v>
      </c>
      <c r="Q30" s="76">
        <f>SUMIF(C47:C52,C30,Q47:Q52)</f>
        <v>0</v>
      </c>
      <c r="R30" s="77">
        <f>SUMIF(C47:C52,C30,R47:R52)</f>
        <v>1</v>
      </c>
      <c r="S30" s="78">
        <f>ROUND((D30+E30)*100/(H30-G30),2)</f>
        <v>0</v>
      </c>
      <c r="T30" s="61">
        <f>ROUND((I30+J30)*100/(M30-L30),2)</f>
        <v>0</v>
      </c>
      <c r="U30" s="61">
        <f>ROUND((N30+O30)*100/(R30-Q30),2)</f>
        <v>0</v>
      </c>
      <c r="V30" s="78">
        <f>ROUND(D30*100/(H30-G30),2)</f>
        <v>0</v>
      </c>
      <c r="W30" s="61">
        <f>ROUND(I30*100/(M30-L30),2)</f>
        <v>0</v>
      </c>
      <c r="X30" s="61">
        <f>ROUND(N30*100/(R30-Q30),2)</f>
        <v>0</v>
      </c>
    </row>
    <row r="31" spans="1:24">
      <c r="A31" s="64"/>
      <c r="B31" s="97"/>
      <c r="C31" s="61" t="str">
        <f>C9</f>
        <v>EV6</v>
      </c>
      <c r="D31" s="72">
        <f>SUMIF(C47:C52,C31,D47:D52)</f>
        <v>0</v>
      </c>
      <c r="E31" s="72">
        <f>SUMIF(C47:C52,C31,E47:E52)</f>
        <v>0</v>
      </c>
      <c r="F31" s="72">
        <f>SUMIF(C47:C52,C31,F47:F52)</f>
        <v>0</v>
      </c>
      <c r="G31" s="72">
        <f>SUMIF(C47:C52,C31,G47:G52)</f>
        <v>0</v>
      </c>
      <c r="H31" s="73">
        <f>SUMIF(C47:C52,C31,H47:H52)</f>
        <v>1</v>
      </c>
      <c r="I31" s="74">
        <f>SUMIF(C47:C52,C31,I47:I52)</f>
        <v>0</v>
      </c>
      <c r="J31" s="74">
        <f>SUMIF(C47:C52,C31,J47:J52)</f>
        <v>0</v>
      </c>
      <c r="K31" s="74">
        <f>SUMIF(C47:C52,C31,K47:K52)</f>
        <v>0</v>
      </c>
      <c r="L31" s="74">
        <f>SUMIF(C47:C52,C31,L47:L52)</f>
        <v>0</v>
      </c>
      <c r="M31" s="75">
        <f>SUMIF(C47:C52,C31,M47:M52)</f>
        <v>1</v>
      </c>
      <c r="N31" s="76">
        <f>SUMIF(C47:C52,C31,N47:N52)</f>
        <v>0</v>
      </c>
      <c r="O31" s="76">
        <f>SUMIF(C47:C52,C31,O47:O52)</f>
        <v>0</v>
      </c>
      <c r="P31" s="76">
        <f>SUMIF(C47:C52,C31,P47:P52)</f>
        <v>0</v>
      </c>
      <c r="Q31" s="76">
        <f>SUMIF(C47:C52,C31,Q47:Q52)</f>
        <v>0</v>
      </c>
      <c r="R31" s="77">
        <f>SUMIF(C47:C52,C31,R47:R52)</f>
        <v>1</v>
      </c>
      <c r="S31" s="78">
        <f>ROUND((D31+E31)*100/(H31-G31),2)</f>
        <v>0</v>
      </c>
      <c r="T31" s="61">
        <f>ROUND((I31+J31)*100/(M31-L31),2)</f>
        <v>0</v>
      </c>
      <c r="U31" s="61">
        <f>ROUND((N31+O31)*100/(R31-Q31),2)</f>
        <v>0</v>
      </c>
      <c r="V31" s="78">
        <f>ROUND(D31*100/(H31-G31),2)</f>
        <v>0</v>
      </c>
      <c r="W31" s="61">
        <f>ROUND(I31*100/(M31-L31),2)</f>
        <v>0</v>
      </c>
      <c r="X31" s="61">
        <f>ROUND(N31*100/(R31-Q31),2)</f>
        <v>0</v>
      </c>
    </row>
    <row r="32" spans="1:24">
      <c r="A32" s="79" t="s">
        <v>56</v>
      </c>
      <c r="B32" s="79"/>
      <c r="C32" s="79"/>
      <c r="D32" s="80">
        <f>SUM(D26:D31)</f>
        <v>0</v>
      </c>
      <c r="E32" s="80">
        <f>SUM(E26:E31)</f>
        <v>0</v>
      </c>
      <c r="F32" s="80">
        <f>SUM(F26:F31)</f>
        <v>0</v>
      </c>
      <c r="G32" s="80">
        <f>SUM(G26:G31)</f>
        <v>0</v>
      </c>
      <c r="H32" s="80">
        <f>SUM(H26:H31)</f>
        <v>6</v>
      </c>
      <c r="I32" s="80">
        <f>SUM(I26:I31)</f>
        <v>0</v>
      </c>
      <c r="J32" s="80">
        <f>SUM(J26:J31)</f>
        <v>0</v>
      </c>
      <c r="K32" s="80">
        <f>SUM(K26:K31)</f>
        <v>0</v>
      </c>
      <c r="L32" s="80">
        <f>SUM(L26:L31)</f>
        <v>0</v>
      </c>
      <c r="M32" s="80">
        <f>SUM(M26:M31)</f>
        <v>6</v>
      </c>
      <c r="N32" s="80">
        <f>SUM(N26:N31)</f>
        <v>0</v>
      </c>
      <c r="O32" s="80">
        <f>SUM(O26:O31)</f>
        <v>0</v>
      </c>
      <c r="P32" s="80">
        <f>SUM(P26:P31)</f>
        <v>0</v>
      </c>
      <c r="Q32" s="80">
        <f>SUM(Q26:Q31)</f>
        <v>0</v>
      </c>
      <c r="R32" s="80">
        <f>SUM(R26:R31)</f>
        <v>6</v>
      </c>
      <c r="S32" s="80">
        <f>ROUND(AVERAGE(S26:S31),2)</f>
        <v>0</v>
      </c>
      <c r="T32" s="80">
        <f>ROUND(AVERAGE(T26:T31),2)</f>
        <v>0</v>
      </c>
      <c r="U32" s="80">
        <f>ROUND(AVERAGE(U26:U31),2)</f>
        <v>0</v>
      </c>
      <c r="V32" s="80">
        <f>ROUND(AVERAGE(V26:V31),2)</f>
        <v>0</v>
      </c>
      <c r="W32" s="80">
        <f>ROUND(AVERAGE(W26:W31),2)</f>
        <v>0</v>
      </c>
      <c r="X32" s="80">
        <f>ROUND(AVERAGE(X26:X31),2)</f>
        <v>0</v>
      </c>
    </row>
    <row r="34" spans="1:24">
      <c r="A34" s="60" t="s">
        <v>63</v>
      </c>
      <c r="B34" s="98"/>
    </row>
    <row r="35" spans="1:24">
      <c r="A35" s="99"/>
      <c r="B35" s="99"/>
      <c r="C35" s="95"/>
      <c r="D35" s="83" t="s">
        <v>24</v>
      </c>
      <c r="E35" s="83"/>
      <c r="F35" s="83"/>
      <c r="G35" s="83"/>
      <c r="H35" s="83"/>
      <c r="I35" s="83" t="s">
        <v>25</v>
      </c>
      <c r="J35" s="83"/>
      <c r="K35" s="83"/>
      <c r="L35" s="83"/>
      <c r="M35" s="83"/>
      <c r="N35" s="83" t="s">
        <v>26</v>
      </c>
      <c r="O35" s="83"/>
      <c r="P35" s="83"/>
      <c r="Q35" s="83"/>
      <c r="R35" s="83"/>
      <c r="S35" s="83" t="s">
        <v>59</v>
      </c>
      <c r="T35" s="83" t="s">
        <v>60</v>
      </c>
      <c r="U35" s="83" t="s">
        <v>27</v>
      </c>
      <c r="V35" s="83" t="s">
        <v>28</v>
      </c>
      <c r="W35" s="100"/>
      <c r="X35" s="101"/>
    </row>
    <row r="36" spans="1:24" ht="31.5">
      <c r="A36" s="84" t="s">
        <v>57</v>
      </c>
      <c r="B36" s="85" t="s">
        <v>58</v>
      </c>
      <c r="C36" s="85" t="s">
        <v>23</v>
      </c>
      <c r="D36" s="85" t="s">
        <v>18</v>
      </c>
      <c r="E36" s="85" t="s">
        <v>19</v>
      </c>
      <c r="F36" s="85" t="s">
        <v>20</v>
      </c>
      <c r="G36" s="85" t="s">
        <v>21</v>
      </c>
      <c r="H36" s="85" t="s">
        <v>22</v>
      </c>
      <c r="I36" s="85" t="s">
        <v>18</v>
      </c>
      <c r="J36" s="85" t="s">
        <v>19</v>
      </c>
      <c r="K36" s="85" t="s">
        <v>20</v>
      </c>
      <c r="L36" s="85" t="s">
        <v>21</v>
      </c>
      <c r="M36" s="85" t="s">
        <v>22</v>
      </c>
      <c r="N36" s="85" t="s">
        <v>18</v>
      </c>
      <c r="O36" s="85" t="s">
        <v>19</v>
      </c>
      <c r="P36" s="85" t="s">
        <v>20</v>
      </c>
      <c r="Q36" s="85" t="s">
        <v>21</v>
      </c>
      <c r="R36" s="85" t="s">
        <v>22</v>
      </c>
      <c r="S36" s="100"/>
      <c r="T36" s="100"/>
      <c r="U36" s="100"/>
      <c r="V36" s="100"/>
      <c r="W36" s="100"/>
      <c r="X36" s="101"/>
    </row>
    <row r="37" spans="1:24">
      <c r="A37" s="121">
        <v>1</v>
      </c>
      <c r="B37" s="120" t="str">
        <f>'Module 1'!B1</f>
        <v>Module 1</v>
      </c>
      <c r="C37" s="82" t="str">
        <f>C4</f>
        <v>EV1</v>
      </c>
      <c r="D37" s="86">
        <f>COUNTIFS('Module 1'!I12:I9999,"Pass",'Module 1'!G12:G9999,"High")</f>
        <v>0</v>
      </c>
      <c r="E37" s="86">
        <f>COUNTIFS('Module 1'!I12:I9999,"Fail",'Module 1'!G12:G9999,"High")</f>
        <v>0</v>
      </c>
      <c r="F37" s="86">
        <f>COUNTIFS('Module 1'!I12:I9999,"Untested",'Module 1'!G12:G9999,"High")</f>
        <v>0</v>
      </c>
      <c r="G37" s="86">
        <f>COUNTIFS('Module 1'!I12:I9999,"Rejected",'Module 1'!G12:G9999,"High")</f>
        <v>0</v>
      </c>
      <c r="H37" s="87">
        <f>'Module 1'!G3</f>
        <v>1</v>
      </c>
      <c r="I37" s="88">
        <f>COUNTIFS('Module 1'!I12:I9999,"Pass",'Module 1'!G12:G9999,"Normal")</f>
        <v>0</v>
      </c>
      <c r="J37" s="88">
        <f>COUNTIFS('Module 1'!I12:I9999,"Fail",'Module 1'!G12:G9999,"Normal")</f>
        <v>0</v>
      </c>
      <c r="K37" s="88">
        <f>COUNTIFS('Module 1'!I12:I9999,"Untested",'Module 1'!G12:G9999,"Normal")</f>
        <v>0</v>
      </c>
      <c r="L37" s="88">
        <f>COUNTIFS('Module 1'!I12:I9999,"Rejected",'Module 1'!G12:G9999,"Normal")</f>
        <v>0</v>
      </c>
      <c r="M37" s="89">
        <f>'Module 1'!H3</f>
        <v>1</v>
      </c>
      <c r="N37" s="90">
        <f>COUNTIFS('Module 1'!I12:I9999,"Pass",'Module 1'!G12:G9999,"Low")</f>
        <v>0</v>
      </c>
      <c r="O37" s="90">
        <f>COUNTIFS('Module 1'!I12:I9999,"Fail",'Module 1'!G12:G9999,"Low")</f>
        <v>0</v>
      </c>
      <c r="P37" s="90">
        <f>COUNTIFS('Module 1'!I12:I9999,"Untested",'Module 1'!G12:G9999,"Low")</f>
        <v>0</v>
      </c>
      <c r="Q37" s="90">
        <f>COUNTIFS('Module 1'!I12:I9999,"Rejected",'Module 1'!G12:G9999,"Low")</f>
        <v>0</v>
      </c>
      <c r="R37" s="91">
        <f>'Module 1'!I3</f>
        <v>1</v>
      </c>
      <c r="S37" s="92">
        <f>'Module 1'!J3</f>
        <v>3</v>
      </c>
      <c r="T37" s="82">
        <f>'Module 1'!D1</f>
        <v>0</v>
      </c>
      <c r="U37" s="82">
        <f>'Module 1'!J8</f>
        <v>0</v>
      </c>
      <c r="V37" s="117"/>
      <c r="W37" s="118"/>
      <c r="X37" s="119"/>
    </row>
    <row r="38" spans="1:24">
      <c r="A38" s="122"/>
      <c r="B38" s="81"/>
      <c r="C38" s="82" t="str">
        <f>C5</f>
        <v>EV2</v>
      </c>
      <c r="D38" s="86">
        <f>COUNTIFS('Module 1'!L12:L9999,"Pass",'Module 1'!G12:G9999,"High")</f>
        <v>0</v>
      </c>
      <c r="E38" s="86">
        <f>COUNTIFS('Module 1'!L12:L9999,"Fail",'Module 1'!G12:G9999,"High")</f>
        <v>0</v>
      </c>
      <c r="F38" s="86">
        <f>COUNTIFS('Module 1'!L12:L9999,"Untested",'Module 1'!G12:G9999,"High")</f>
        <v>0</v>
      </c>
      <c r="G38" s="86">
        <f>COUNTIFS('Module 1'!L12:L9999,"Rejected",'Module 1'!G12:G9999,"High")</f>
        <v>0</v>
      </c>
      <c r="H38" s="87">
        <f>'Module 1'!G3</f>
        <v>1</v>
      </c>
      <c r="I38" s="88">
        <f>COUNTIFS('Module 1'!L12:L9999,"Pass",'Module 1'!G12:G9999,"Normal")</f>
        <v>0</v>
      </c>
      <c r="J38" s="88">
        <f>COUNTIFS('Module 1'!L12:L9999,"Fail",'Module 1'!G12:G9999,"Normal")</f>
        <v>0</v>
      </c>
      <c r="K38" s="88">
        <f>COUNTIFS('Module 1'!L12:L9999,"Untested",'Module 1'!G12:G9999,"Normal")</f>
        <v>0</v>
      </c>
      <c r="L38" s="88">
        <f>COUNTIFS('Module 1'!L12:L9999,"Rejected",'Module 1'!G12:G9999,"Normal")</f>
        <v>0</v>
      </c>
      <c r="M38" s="89">
        <f>'Module 1'!H3</f>
        <v>1</v>
      </c>
      <c r="N38" s="90">
        <f>COUNTIFS('Module 1'!L12:L9999,"Pass",'Module 1'!G12:G9999,"Low")</f>
        <v>0</v>
      </c>
      <c r="O38" s="90">
        <f>COUNTIFS('Module 1'!L12:L9999,"Fail",'Module 1'!G12:G9999,"Low")</f>
        <v>0</v>
      </c>
      <c r="P38" s="90">
        <f>COUNTIFS('Module 1'!L12:L9999,"Untested",'Module 1'!G12:G9999,"Low")</f>
        <v>0</v>
      </c>
      <c r="Q38" s="90">
        <f>COUNTIFS('Module 1'!L12:L9999,"Rejected",'Module 1'!G12:G9999,"Low")</f>
        <v>0</v>
      </c>
      <c r="R38" s="91">
        <f>'Module 1'!I3</f>
        <v>1</v>
      </c>
      <c r="S38" s="92">
        <f>'Module 1'!J3</f>
        <v>3</v>
      </c>
      <c r="T38" s="82">
        <f>'Module 1'!D1</f>
        <v>0</v>
      </c>
      <c r="U38" s="82">
        <f>'Module 1'!J8</f>
        <v>0</v>
      </c>
      <c r="V38" s="117"/>
      <c r="W38" s="118"/>
      <c r="X38" s="119"/>
    </row>
    <row r="39" spans="1:24">
      <c r="A39" s="122"/>
      <c r="B39" s="81"/>
      <c r="C39" s="82" t="str">
        <f>C6</f>
        <v>EV3</v>
      </c>
      <c r="D39" s="86">
        <f>COUNTIFS('Module 1'!O12:O9999,"Pass",'Module 1'!G12:G9999,"High")</f>
        <v>0</v>
      </c>
      <c r="E39" s="86">
        <f>COUNTIFS('Module 1'!O12:O9999,"Fail",'Module 1'!G12:G9999,"High")</f>
        <v>0</v>
      </c>
      <c r="F39" s="86">
        <f>COUNTIFS('Module 1'!O12:O9999,"Untested",'Module 1'!G12:G9999,"High")</f>
        <v>0</v>
      </c>
      <c r="G39" s="86">
        <f>COUNTIFS('Module 1'!O12:O9999,"Rejected",'Module 1'!G12:G9999,"High")</f>
        <v>0</v>
      </c>
      <c r="H39" s="87">
        <f>'Module 1'!G3</f>
        <v>1</v>
      </c>
      <c r="I39" s="88">
        <f>COUNTIFS('Module 1'!O12:O9999,"Pass",'Module 1'!G12:G9999,"Normal")</f>
        <v>0</v>
      </c>
      <c r="J39" s="88">
        <f>COUNTIFS('Module 1'!O12:O9999,"Fail",'Module 1'!G12:G9999,"Normal")</f>
        <v>0</v>
      </c>
      <c r="K39" s="88">
        <f>COUNTIFS('Module 1'!O12:O9999,"Untested",'Module 1'!G12:G9999,"Normal")</f>
        <v>0</v>
      </c>
      <c r="L39" s="88">
        <f>COUNTIFS('Module 1'!O12:O9999,"Rejected",'Module 1'!G12:G9999,"Normal")</f>
        <v>0</v>
      </c>
      <c r="M39" s="89">
        <f>'Module 1'!H3</f>
        <v>1</v>
      </c>
      <c r="N39" s="90">
        <f>COUNTIFS('Module 1'!O12:O9999,"Pass",'Module 1'!G12:G9999,"Low")</f>
        <v>0</v>
      </c>
      <c r="O39" s="90">
        <f>COUNTIFS('Module 1'!O12:O9999,"Fail",'Module 1'!G12:G9999,"Low")</f>
        <v>0</v>
      </c>
      <c r="P39" s="90">
        <f>COUNTIFS('Module 1'!O12:O9999,"Untested",'Module 1'!G12:G9999,"Low")</f>
        <v>0</v>
      </c>
      <c r="Q39" s="90">
        <f>COUNTIFS('Module 1'!O12:O9999,"Rejected",'Module 1'!G12:G9999,"Low")</f>
        <v>0</v>
      </c>
      <c r="R39" s="91">
        <f>'Module 1'!I3</f>
        <v>1</v>
      </c>
      <c r="S39" s="92">
        <f>'Module 1'!J3</f>
        <v>3</v>
      </c>
      <c r="T39" s="82">
        <f>'Module 1'!D1</f>
        <v>0</v>
      </c>
      <c r="U39" s="82">
        <f>'Module 1'!J8</f>
        <v>0</v>
      </c>
      <c r="V39" s="117"/>
      <c r="W39" s="118"/>
      <c r="X39" s="119"/>
    </row>
    <row r="40" spans="1:24">
      <c r="A40" s="122"/>
      <c r="B40" s="81"/>
      <c r="C40" s="82" t="str">
        <f>C7</f>
        <v>EV4</v>
      </c>
      <c r="D40" s="86">
        <f>COUNTIFS('Module 1'!R12:R9999,"Pass",'Module 1'!G12:G9999,"High")</f>
        <v>0</v>
      </c>
      <c r="E40" s="86">
        <f>COUNTIFS('Module 1'!R12:R9999,"Fail",'Module 1'!G12:G9999,"High")</f>
        <v>0</v>
      </c>
      <c r="F40" s="86">
        <f>COUNTIFS('Module 1'!R12:R9999,"Untested",'Module 1'!G12:G9999,"High")</f>
        <v>0</v>
      </c>
      <c r="G40" s="86">
        <f>COUNTIFS('Module 1'!R12:R9999,"Rejected",'Module 1'!G12:G9999,"High")</f>
        <v>0</v>
      </c>
      <c r="H40" s="87">
        <f>'Module 1'!G3</f>
        <v>1</v>
      </c>
      <c r="I40" s="88">
        <f>COUNTIFS('Module 1'!R12:R9999,"Pass",'Module 1'!G12:G9999,"Normal")</f>
        <v>0</v>
      </c>
      <c r="J40" s="88">
        <f>COUNTIFS('Module 1'!R12:R9999,"Fail",'Module 1'!G12:G9999,"Normal")</f>
        <v>0</v>
      </c>
      <c r="K40" s="88">
        <f>COUNTIFS('Module 1'!R12:R9999,"Untested",'Module 1'!G12:G9999,"Normal")</f>
        <v>0</v>
      </c>
      <c r="L40" s="88">
        <f>COUNTIFS('Module 1'!R12:R9999,"Rejected",'Module 1'!G12:G9999,"Normal")</f>
        <v>0</v>
      </c>
      <c r="M40" s="89">
        <f>'Module 1'!H3</f>
        <v>1</v>
      </c>
      <c r="N40" s="90">
        <f>COUNTIFS('Module 1'!R12:R9999,"Pass",'Module 1'!G12:G9999,"Low")</f>
        <v>0</v>
      </c>
      <c r="O40" s="90">
        <f>COUNTIFS('Module 1'!R12:R9999,"Fail",'Module 1'!G12:G9999,"Low")</f>
        <v>0</v>
      </c>
      <c r="P40" s="90">
        <f>COUNTIFS('Module 1'!R12:R9999,"Untested",'Module 1'!G12:G9999,"Low")</f>
        <v>0</v>
      </c>
      <c r="Q40" s="90">
        <f>COUNTIFS('Module 1'!R12:R9999,"Rejected",'Module 1'!G12:G9999,"Low")</f>
        <v>0</v>
      </c>
      <c r="R40" s="91">
        <f>'Module 1'!I3</f>
        <v>1</v>
      </c>
      <c r="S40" s="92">
        <f>'Module 1'!J3</f>
        <v>3</v>
      </c>
      <c r="T40" s="82">
        <f>'Module 1'!D1</f>
        <v>0</v>
      </c>
      <c r="U40" s="82">
        <f>'Module 1'!J8</f>
        <v>0</v>
      </c>
      <c r="V40" s="117"/>
      <c r="W40" s="118"/>
      <c r="X40" s="119"/>
    </row>
    <row r="41" spans="1:24">
      <c r="A41" s="122"/>
      <c r="B41" s="81"/>
      <c r="C41" s="82" t="str">
        <f>C8</f>
        <v>EV5</v>
      </c>
      <c r="D41" s="86">
        <f>COUNTIFS('Module 1'!U12:U9999,"Pass",'Module 1'!G12:G9999,"High")</f>
        <v>0</v>
      </c>
      <c r="E41" s="86">
        <f>COUNTIFS('Module 1'!U12:U9999,"Fail",'Module 1'!G12:G9999,"High")</f>
        <v>0</v>
      </c>
      <c r="F41" s="86">
        <f>COUNTIFS('Module 1'!U12:U9999,"Untested",'Module 1'!G12:G9999,"High")</f>
        <v>0</v>
      </c>
      <c r="G41" s="86">
        <f>COUNTIFS('Module 1'!U12:U9999,"Rejected",'Module 1'!G12:G9999,"High")</f>
        <v>0</v>
      </c>
      <c r="H41" s="87">
        <f>'Module 1'!G3</f>
        <v>1</v>
      </c>
      <c r="I41" s="88">
        <f>COUNTIFS('Module 1'!U12:U9999,"Pass",'Module 1'!G12:G9999,"Normal")</f>
        <v>0</v>
      </c>
      <c r="J41" s="88">
        <f>COUNTIFS('Module 1'!U12:U9999,"Fail",'Module 1'!G12:G9999,"Normal")</f>
        <v>0</v>
      </c>
      <c r="K41" s="88">
        <f>COUNTIFS('Module 1'!U12:U9999,"Untested",'Module 1'!G12:G9999,"Normal")</f>
        <v>0</v>
      </c>
      <c r="L41" s="88">
        <f>COUNTIFS('Module 1'!U12:U9999,"Rejected",'Module 1'!G12:G9999,"Normal")</f>
        <v>0</v>
      </c>
      <c r="M41" s="89">
        <f>'Module 1'!H3</f>
        <v>1</v>
      </c>
      <c r="N41" s="90">
        <f>COUNTIFS('Module 1'!U12:U9999,"Pass",'Module 1'!G12:G9999,"Low")</f>
        <v>0</v>
      </c>
      <c r="O41" s="90">
        <f>COUNTIFS('Module 1'!U12:U9999,"Fail",'Module 1'!G12:G9999,"Low")</f>
        <v>0</v>
      </c>
      <c r="P41" s="90">
        <f>COUNTIFS('Module 1'!U12:U9999,"Untested",'Module 1'!G12:G9999,"Low")</f>
        <v>0</v>
      </c>
      <c r="Q41" s="90">
        <f>COUNTIFS('Module 1'!U12:U9999,"Rejected",'Module 1'!G12:G9999,"Low")</f>
        <v>0</v>
      </c>
      <c r="R41" s="91">
        <f>'Module 1'!I3</f>
        <v>1</v>
      </c>
      <c r="S41" s="92">
        <f>'Module 1'!J3</f>
        <v>3</v>
      </c>
      <c r="T41" s="82">
        <f>'Module 1'!D1</f>
        <v>0</v>
      </c>
      <c r="U41" s="82">
        <f>'Module 1'!J8</f>
        <v>0</v>
      </c>
      <c r="V41" s="117"/>
      <c r="W41" s="118"/>
      <c r="X41" s="119"/>
    </row>
    <row r="42" spans="1:24">
      <c r="A42" s="93"/>
      <c r="B42" s="94"/>
      <c r="C42" s="82" t="str">
        <f>C9</f>
        <v>EV6</v>
      </c>
      <c r="D42" s="86">
        <f>COUNTIFS('Module 1'!X12:X9999,"Pass",'Module 1'!G12:G9999,"High")</f>
        <v>0</v>
      </c>
      <c r="E42" s="86">
        <f>COUNTIFS('Module 1'!X12:X9999,"Fail",'Module 1'!G12:G9999,"High")</f>
        <v>0</v>
      </c>
      <c r="F42" s="86">
        <f>COUNTIFS('Module 1'!X12:X9999,"Untested",'Module 1'!G12:G9999,"High")</f>
        <v>0</v>
      </c>
      <c r="G42" s="86">
        <f>COUNTIFS('Module 1'!X12:X9999,"Rejected",'Module 1'!G12:G9999,"High")</f>
        <v>0</v>
      </c>
      <c r="H42" s="87">
        <f>'Module 1'!G3</f>
        <v>1</v>
      </c>
      <c r="I42" s="88">
        <f>COUNTIFS('Module 1'!X12:X9999,"Pass",'Module 1'!G12:G9999,"Normal")</f>
        <v>0</v>
      </c>
      <c r="J42" s="88">
        <f>COUNTIFS('Module 1'!X12:X9999,"Fail",'Module 1'!G12:G9999,"Normal")</f>
        <v>0</v>
      </c>
      <c r="K42" s="88">
        <f>COUNTIFS('Module 1'!X12:X9999,"Untested",'Module 1'!G12:G9999,"Normal")</f>
        <v>0</v>
      </c>
      <c r="L42" s="88">
        <f>COUNTIFS('Module 1'!X12:X9999,"Rejected",'Module 1'!G12:G9999,"Normal")</f>
        <v>0</v>
      </c>
      <c r="M42" s="89">
        <f>'Module 1'!H3</f>
        <v>1</v>
      </c>
      <c r="N42" s="90">
        <f>COUNTIFS('Module 1'!X12:X9999,"Pass",'Module 1'!G12:G9999,"Low")</f>
        <v>0</v>
      </c>
      <c r="O42" s="90">
        <f>COUNTIFS('Module 1'!X12:X9999,"Fail",'Module 1'!G12:G9999,"Low")</f>
        <v>0</v>
      </c>
      <c r="P42" s="90">
        <f>COUNTIFS('Module 1'!X12:X9999,"Untested",'Module 1'!G12:G9999,"Low")</f>
        <v>0</v>
      </c>
      <c r="Q42" s="90">
        <f>COUNTIFS('Module 1'!X12:X9999,"Rejected",'Module 1'!G12:G9999,"Low")</f>
        <v>0</v>
      </c>
      <c r="R42" s="91">
        <f>'Module 1'!I3</f>
        <v>1</v>
      </c>
      <c r="S42" s="92">
        <f>'Module 1'!J3</f>
        <v>3</v>
      </c>
      <c r="T42" s="82">
        <f>'Module 1'!D1</f>
        <v>0</v>
      </c>
      <c r="U42" s="82">
        <f>'Module 1'!J8</f>
        <v>0</v>
      </c>
      <c r="V42" s="117"/>
      <c r="W42" s="118"/>
      <c r="X42" s="119"/>
    </row>
    <row r="44" spans="1:24">
      <c r="A44" s="60" t="s">
        <v>64</v>
      </c>
      <c r="B44" s="98"/>
    </row>
    <row r="45" spans="1:24">
      <c r="A45" s="99"/>
      <c r="B45" s="99"/>
      <c r="C45" s="95"/>
      <c r="D45" s="83" t="s">
        <v>24</v>
      </c>
      <c r="E45" s="83"/>
      <c r="F45" s="83"/>
      <c r="G45" s="83"/>
      <c r="H45" s="83"/>
      <c r="I45" s="83" t="s">
        <v>25</v>
      </c>
      <c r="J45" s="83"/>
      <c r="K45" s="83"/>
      <c r="L45" s="83"/>
      <c r="M45" s="83"/>
      <c r="N45" s="83" t="s">
        <v>26</v>
      </c>
      <c r="O45" s="83"/>
      <c r="P45" s="83"/>
      <c r="Q45" s="83"/>
      <c r="R45" s="83"/>
      <c r="S45" s="83" t="s">
        <v>59</v>
      </c>
      <c r="T45" s="83" t="s">
        <v>60</v>
      </c>
      <c r="U45" s="83" t="s">
        <v>27</v>
      </c>
      <c r="V45" s="83" t="s">
        <v>28</v>
      </c>
      <c r="W45" s="100"/>
      <c r="X45" s="101"/>
    </row>
    <row r="46" spans="1:24" ht="31.5">
      <c r="A46" s="84" t="s">
        <v>57</v>
      </c>
      <c r="B46" s="85" t="s">
        <v>58</v>
      </c>
      <c r="C46" s="85" t="s">
        <v>23</v>
      </c>
      <c r="D46" s="85" t="s">
        <v>18</v>
      </c>
      <c r="E46" s="85" t="s">
        <v>19</v>
      </c>
      <c r="F46" s="85" t="s">
        <v>20</v>
      </c>
      <c r="G46" s="85" t="s">
        <v>21</v>
      </c>
      <c r="H46" s="85" t="s">
        <v>22</v>
      </c>
      <c r="I46" s="85" t="s">
        <v>18</v>
      </c>
      <c r="J46" s="85" t="s">
        <v>19</v>
      </c>
      <c r="K46" s="85" t="s">
        <v>20</v>
      </c>
      <c r="L46" s="85" t="s">
        <v>21</v>
      </c>
      <c r="M46" s="85" t="s">
        <v>22</v>
      </c>
      <c r="N46" s="85" t="s">
        <v>18</v>
      </c>
      <c r="O46" s="85" t="s">
        <v>19</v>
      </c>
      <c r="P46" s="85" t="s">
        <v>20</v>
      </c>
      <c r="Q46" s="85" t="s">
        <v>21</v>
      </c>
      <c r="R46" s="85" t="s">
        <v>22</v>
      </c>
      <c r="S46" s="100"/>
      <c r="T46" s="100"/>
      <c r="U46" s="100"/>
      <c r="V46" s="100"/>
      <c r="W46" s="100"/>
      <c r="X46" s="101"/>
    </row>
    <row r="47" spans="1:24">
      <c r="A47" s="121">
        <v>1</v>
      </c>
      <c r="B47" s="120" t="str">
        <f>'Module 1'!B1</f>
        <v>Module 1</v>
      </c>
      <c r="C47" s="82" t="str">
        <f>C4</f>
        <v>EV1</v>
      </c>
      <c r="D47" s="86">
        <f>COUNTIFS('Module 1'!AB12:AB9999,"Pass",'Module 1'!G12:G9999,"High")</f>
        <v>0</v>
      </c>
      <c r="E47" s="86">
        <f>COUNTIFS('Module 1'!AB12:AB9999,"Fail",'Module 1'!G12:G9999,"High")</f>
        <v>0</v>
      </c>
      <c r="F47" s="86">
        <f>COUNTIFS('Module 1'!AB12:AB9999,"Untested",'Module 1'!G12:G9999,"High")</f>
        <v>0</v>
      </c>
      <c r="G47" s="86">
        <f>COUNTIFS('Module 1'!AB12:AB9999,"Rejected",'Module 1'!G12:G9999,"High")</f>
        <v>0</v>
      </c>
      <c r="H47" s="87">
        <f>'Module 1'!G3</f>
        <v>1</v>
      </c>
      <c r="I47" s="88">
        <f>COUNTIFS('Module 1'!AB12:AB9999,"Pass",'Module 1'!G12:G9999,"Normal")</f>
        <v>0</v>
      </c>
      <c r="J47" s="88">
        <f>COUNTIFS('Module 1'!AB12:AB9999,"Fail",'Module 1'!G12:G9999,"Normal")</f>
        <v>0</v>
      </c>
      <c r="K47" s="88">
        <f>COUNTIFS('Module 1'!AB12:AB9999,"Untested",'Module 1'!G12:G9999,"Normal")</f>
        <v>0</v>
      </c>
      <c r="L47" s="88">
        <f>COUNTIFS('Module 1'!AB12:AB9999,"Rejected",'Module 1'!G12:G9999,"Normal")</f>
        <v>0</v>
      </c>
      <c r="M47" s="89">
        <f>'Module 1'!H3</f>
        <v>1</v>
      </c>
      <c r="N47" s="90">
        <f>COUNTIFS('Module 1'!AB12:AB9999,"Pass",'Module 1'!G12:G9999,"Low")</f>
        <v>0</v>
      </c>
      <c r="O47" s="90">
        <f>COUNTIFS('Module 1'!AB12:AB9999,"Fail",'Module 1'!G12:G9999,"Low")</f>
        <v>0</v>
      </c>
      <c r="P47" s="90">
        <f>COUNTIFS('Module 1'!AB12:AB9999,"Untested",'Module 1'!G12:G9999,"Low")</f>
        <v>0</v>
      </c>
      <c r="Q47" s="90">
        <f>COUNTIFS('Module 1'!AB12:AB9999,"Rejected",'Module 1'!G12:G9999,"Low")</f>
        <v>0</v>
      </c>
      <c r="R47" s="91">
        <f>'Module 1'!I3</f>
        <v>1</v>
      </c>
      <c r="S47" s="92">
        <f>'Module 1'!J3</f>
        <v>3</v>
      </c>
      <c r="T47" s="82">
        <f>'Module 1'!D1</f>
        <v>0</v>
      </c>
      <c r="U47" s="82">
        <f>'Module 1'!J8</f>
        <v>0</v>
      </c>
      <c r="V47" s="117"/>
      <c r="W47" s="118"/>
      <c r="X47" s="119"/>
    </row>
    <row r="48" spans="1:24">
      <c r="A48" s="122"/>
      <c r="B48" s="81"/>
      <c r="C48" s="82" t="str">
        <f>C5</f>
        <v>EV2</v>
      </c>
      <c r="D48" s="86">
        <f>COUNTIFS('Module 1'!AE12:AE9999,"Pass",'Module 1'!G12:G9999,"High")</f>
        <v>0</v>
      </c>
      <c r="E48" s="86">
        <f>COUNTIFS('Module 1'!AE12:AE9999,"Fail",'Module 1'!G12:G9999,"High")</f>
        <v>0</v>
      </c>
      <c r="F48" s="86">
        <f>COUNTIFS('Module 1'!AE12:AE9999,"Untested",'Module 1'!G12:G9999,"High")</f>
        <v>0</v>
      </c>
      <c r="G48" s="86">
        <f>COUNTIFS('Module 1'!AE12:AE9999,"Rejected",'Module 1'!G12:G9999,"High")</f>
        <v>0</v>
      </c>
      <c r="H48" s="87">
        <f>'Module 1'!G3</f>
        <v>1</v>
      </c>
      <c r="I48" s="88">
        <f>COUNTIFS('Module 1'!AE12:AE9999,"Pass",'Module 1'!G12:G9999,"Normal")</f>
        <v>0</v>
      </c>
      <c r="J48" s="88">
        <f>COUNTIFS('Module 1'!AE12:AE9999,"Fail",'Module 1'!G12:G9999,"Normal")</f>
        <v>0</v>
      </c>
      <c r="K48" s="88">
        <f>COUNTIFS('Module 1'!AE12:AE9999,"Untested",'Module 1'!G12:G9999,"Normal")</f>
        <v>0</v>
      </c>
      <c r="L48" s="88">
        <f>COUNTIFS('Module 1'!AE12:AE9999,"Rejected",'Module 1'!G12:G9999,"Normal")</f>
        <v>0</v>
      </c>
      <c r="M48" s="89">
        <f>'Module 1'!H3</f>
        <v>1</v>
      </c>
      <c r="N48" s="90">
        <f>COUNTIFS('Module 1'!AE12:AE9999,"Pass",'Module 1'!G12:G9999,"Low")</f>
        <v>0</v>
      </c>
      <c r="O48" s="90">
        <f>COUNTIFS('Module 1'!AE12:AE9999,"Fail",'Module 1'!G12:G9999,"Low")</f>
        <v>0</v>
      </c>
      <c r="P48" s="90">
        <f>COUNTIFS('Module 1'!AE12:AE9999,"Untested",'Module 1'!G12:G9999,"Low")</f>
        <v>0</v>
      </c>
      <c r="Q48" s="90">
        <f>COUNTIFS('Module 1'!AE12:AE9999,"Rejected",'Module 1'!G12:G9999,"Low")</f>
        <v>0</v>
      </c>
      <c r="R48" s="91">
        <f>'Module 1'!I3</f>
        <v>1</v>
      </c>
      <c r="S48" s="92">
        <f>'Module 1'!J3</f>
        <v>3</v>
      </c>
      <c r="T48" s="82">
        <f>'Module 1'!D1</f>
        <v>0</v>
      </c>
      <c r="U48" s="82">
        <f>'Module 1'!J8</f>
        <v>0</v>
      </c>
      <c r="V48" s="117"/>
      <c r="W48" s="118"/>
      <c r="X48" s="119"/>
    </row>
    <row r="49" spans="1:24">
      <c r="A49" s="122"/>
      <c r="B49" s="81"/>
      <c r="C49" s="82" t="str">
        <f>C6</f>
        <v>EV3</v>
      </c>
      <c r="D49" s="86">
        <f>COUNTIFS('Module 1'!AH12:AH9999,"Pass",'Module 1'!G12:G9999,"High")</f>
        <v>0</v>
      </c>
      <c r="E49" s="86">
        <f>COUNTIFS('Module 1'!AH12:AH9999,"Fail",'Module 1'!G12:G9999,"High")</f>
        <v>0</v>
      </c>
      <c r="F49" s="86">
        <f>COUNTIFS('Module 1'!AH12:AH9999,"Untested",'Module 1'!G12:G9999,"High")</f>
        <v>0</v>
      </c>
      <c r="G49" s="86">
        <f>COUNTIFS('Module 1'!AH12:AH9999,"Rejected",'Module 1'!G12:G9999,"High")</f>
        <v>0</v>
      </c>
      <c r="H49" s="87">
        <f>'Module 1'!G3</f>
        <v>1</v>
      </c>
      <c r="I49" s="88">
        <f>COUNTIFS('Module 1'!AH12:AH9999,"Pass",'Module 1'!G12:G9999,"Normal")</f>
        <v>0</v>
      </c>
      <c r="J49" s="88">
        <f>COUNTIFS('Module 1'!AH12:AH9999,"Fail",'Module 1'!G12:G9999,"Normal")</f>
        <v>0</v>
      </c>
      <c r="K49" s="88">
        <f>COUNTIFS('Module 1'!AH12:AH9999,"Untested",'Module 1'!G12:G9999,"Normal")</f>
        <v>0</v>
      </c>
      <c r="L49" s="88">
        <f>COUNTIFS('Module 1'!AH12:AH9999,"Rejected",'Module 1'!G12:G9999,"Normal")</f>
        <v>0</v>
      </c>
      <c r="M49" s="89">
        <f>'Module 1'!H3</f>
        <v>1</v>
      </c>
      <c r="N49" s="90">
        <f>COUNTIFS('Module 1'!AH12:AH9999,"Pass",'Module 1'!G12:G9999,"Low")</f>
        <v>0</v>
      </c>
      <c r="O49" s="90">
        <f>COUNTIFS('Module 1'!AH12:AH9999,"Fail",'Module 1'!G12:G9999,"Low")</f>
        <v>0</v>
      </c>
      <c r="P49" s="90">
        <f>COUNTIFS('Module 1'!AH12:AH9999,"Untested",'Module 1'!G12:G9999,"Low")</f>
        <v>0</v>
      </c>
      <c r="Q49" s="90">
        <f>COUNTIFS('Module 1'!AH12:AH9999,"Rejected",'Module 1'!G12:G9999,"Low")</f>
        <v>0</v>
      </c>
      <c r="R49" s="91">
        <f>'Module 1'!I3</f>
        <v>1</v>
      </c>
      <c r="S49" s="92">
        <f>'Module 1'!J3</f>
        <v>3</v>
      </c>
      <c r="T49" s="82">
        <f>'Module 1'!D1</f>
        <v>0</v>
      </c>
      <c r="U49" s="82">
        <f>'Module 1'!J8</f>
        <v>0</v>
      </c>
      <c r="V49" s="117"/>
      <c r="W49" s="118"/>
      <c r="X49" s="119"/>
    </row>
    <row r="50" spans="1:24">
      <c r="A50" s="122"/>
      <c r="B50" s="81"/>
      <c r="C50" s="82" t="str">
        <f>C7</f>
        <v>EV4</v>
      </c>
      <c r="D50" s="86">
        <f>COUNTIFS('Module 1'!AK12:AK9999,"Pass",'Module 1'!G12:G9999,"High")</f>
        <v>0</v>
      </c>
      <c r="E50" s="86">
        <f>COUNTIFS('Module 1'!AK12:AK9999,"Fail",'Module 1'!G12:G9999,"High")</f>
        <v>0</v>
      </c>
      <c r="F50" s="86">
        <f>COUNTIFS('Module 1'!AK12:AK9999,"Untested",'Module 1'!G12:G9999,"High")</f>
        <v>0</v>
      </c>
      <c r="G50" s="86">
        <f>COUNTIFS('Module 1'!AK12:AK9999,"Rejected",'Module 1'!G12:G9999,"High")</f>
        <v>0</v>
      </c>
      <c r="H50" s="87">
        <f>'Module 1'!G3</f>
        <v>1</v>
      </c>
      <c r="I50" s="88">
        <f>COUNTIFS('Module 1'!AK12:AK9999,"Pass",'Module 1'!G12:G9999,"Normal")</f>
        <v>0</v>
      </c>
      <c r="J50" s="88">
        <f>COUNTIFS('Module 1'!AK12:AK9999,"Fail",'Module 1'!G12:G9999,"Normal")</f>
        <v>0</v>
      </c>
      <c r="K50" s="88">
        <f>COUNTIFS('Module 1'!AK12:AK9999,"Untested",'Module 1'!G12:G9999,"Normal")</f>
        <v>0</v>
      </c>
      <c r="L50" s="88">
        <f>COUNTIFS('Module 1'!AK12:AK9999,"Rejected",'Module 1'!G12:G9999,"Normal")</f>
        <v>0</v>
      </c>
      <c r="M50" s="89">
        <f>'Module 1'!H3</f>
        <v>1</v>
      </c>
      <c r="N50" s="90">
        <f>COUNTIFS('Module 1'!AK12:AK9999,"Pass",'Module 1'!G12:G9999,"Low")</f>
        <v>0</v>
      </c>
      <c r="O50" s="90">
        <f>COUNTIFS('Module 1'!AK12:AK9999,"Fail",'Module 1'!G12:G9999,"Low")</f>
        <v>0</v>
      </c>
      <c r="P50" s="90">
        <f>COUNTIFS('Module 1'!AK12:AK9999,"Untested",'Module 1'!G12:G9999,"Low")</f>
        <v>0</v>
      </c>
      <c r="Q50" s="90">
        <f>COUNTIFS('Module 1'!AK12:AK9999,"Rejected",'Module 1'!G12:G9999,"Low")</f>
        <v>0</v>
      </c>
      <c r="R50" s="91">
        <f>'Module 1'!I3</f>
        <v>1</v>
      </c>
      <c r="S50" s="92">
        <f>'Module 1'!J3</f>
        <v>3</v>
      </c>
      <c r="T50" s="82">
        <f>'Module 1'!D1</f>
        <v>0</v>
      </c>
      <c r="U50" s="82">
        <f>'Module 1'!J8</f>
        <v>0</v>
      </c>
      <c r="V50" s="117"/>
      <c r="W50" s="118"/>
      <c r="X50" s="119"/>
    </row>
    <row r="51" spans="1:24">
      <c r="A51" s="122"/>
      <c r="B51" s="81"/>
      <c r="C51" s="82" t="str">
        <f>C8</f>
        <v>EV5</v>
      </c>
      <c r="D51" s="86">
        <f>COUNTIFS('Module 1'!AN12:AN9999,"Pass",'Module 1'!G12:G9999,"High")</f>
        <v>0</v>
      </c>
      <c r="E51" s="86">
        <f>COUNTIFS('Module 1'!AN12:AN9999,"Fail",'Module 1'!G12:G9999,"High")</f>
        <v>0</v>
      </c>
      <c r="F51" s="86">
        <f>COUNTIFS('Module 1'!AN12:AN9999,"Untested",'Module 1'!G12:G9999,"High")</f>
        <v>0</v>
      </c>
      <c r="G51" s="86">
        <f>COUNTIFS('Module 1'!AN12:AN9999,"Rejected",'Module 1'!G12:G9999,"High")</f>
        <v>0</v>
      </c>
      <c r="H51" s="87">
        <f>'Module 1'!G3</f>
        <v>1</v>
      </c>
      <c r="I51" s="88">
        <f>COUNTIFS('Module 1'!AN12:AN9999,"Pass",'Module 1'!G12:G9999,"Normal")</f>
        <v>0</v>
      </c>
      <c r="J51" s="88">
        <f>COUNTIFS('Module 1'!AN12:AN9999,"Fail",'Module 1'!G12:G9999,"Normal")</f>
        <v>0</v>
      </c>
      <c r="K51" s="88">
        <f>COUNTIFS('Module 1'!AN12:AN9999,"Untested",'Module 1'!G12:G9999,"Normal")</f>
        <v>0</v>
      </c>
      <c r="L51" s="88">
        <f>COUNTIFS('Module 1'!AN12:AN9999,"Rejected",'Module 1'!G12:G9999,"Normal")</f>
        <v>0</v>
      </c>
      <c r="M51" s="89">
        <f>'Module 1'!H3</f>
        <v>1</v>
      </c>
      <c r="N51" s="90">
        <f>COUNTIFS('Module 1'!AN12:AN9999,"Pass",'Module 1'!G12:G9999,"Low")</f>
        <v>0</v>
      </c>
      <c r="O51" s="90">
        <f>COUNTIFS('Module 1'!AN12:AN9999,"Fail",'Module 1'!G12:G9999,"Low")</f>
        <v>0</v>
      </c>
      <c r="P51" s="90">
        <f>COUNTIFS('Module 1'!AN12:AN9999,"Untested",'Module 1'!G12:G9999,"Low")</f>
        <v>0</v>
      </c>
      <c r="Q51" s="90">
        <f>COUNTIFS('Module 1'!AN12:AN9999,"Rejected",'Module 1'!G12:G9999,"Low")</f>
        <v>0</v>
      </c>
      <c r="R51" s="91">
        <f>'Module 1'!I3</f>
        <v>1</v>
      </c>
      <c r="S51" s="92">
        <f>'Module 1'!J3</f>
        <v>3</v>
      </c>
      <c r="T51" s="82">
        <f>'Module 1'!D1</f>
        <v>0</v>
      </c>
      <c r="U51" s="82">
        <f>'Module 1'!J8</f>
        <v>0</v>
      </c>
      <c r="V51" s="117"/>
      <c r="W51" s="118"/>
      <c r="X51" s="119"/>
    </row>
    <row r="52" spans="1:24">
      <c r="A52" s="93"/>
      <c r="B52" s="94"/>
      <c r="C52" s="82" t="str">
        <f>C9</f>
        <v>EV6</v>
      </c>
      <c r="D52" s="86">
        <f>COUNTIFS('Module 1'!AQ12:AQ9999,"Pass",'Module 1'!G12:G9999,"High")</f>
        <v>0</v>
      </c>
      <c r="E52" s="86">
        <f>COUNTIFS('Module 1'!AQ12:AQ9999,"Fail",'Module 1'!G12:G9999,"High")</f>
        <v>0</v>
      </c>
      <c r="F52" s="86">
        <f>COUNTIFS('Module 1'!AQ12:AQ9999,"Untested",'Module 1'!G12:G9999,"High")</f>
        <v>0</v>
      </c>
      <c r="G52" s="86">
        <f>COUNTIFS('Module 1'!AQ12:AQ9999,"Rejected",'Module 1'!G12:G9999,"High")</f>
        <v>0</v>
      </c>
      <c r="H52" s="87">
        <f>'Module 1'!G3</f>
        <v>1</v>
      </c>
      <c r="I52" s="88">
        <f>COUNTIFS('Module 1'!AQ12:AQ9999,"Pass",'Module 1'!G12:G9999,"Normal")</f>
        <v>0</v>
      </c>
      <c r="J52" s="88">
        <f>COUNTIFS('Module 1'!AQ12:AQ9999,"Fail",'Module 1'!G12:G9999,"Normal")</f>
        <v>0</v>
      </c>
      <c r="K52" s="88">
        <f>COUNTIFS('Module 1'!AQ12:AQ9999,"Untested",'Module 1'!G12:G9999,"Normal")</f>
        <v>0</v>
      </c>
      <c r="L52" s="88">
        <f>COUNTIFS('Module 1'!AQ12:AQ9999,"Rejected",'Module 1'!G12:G9999,"Normal")</f>
        <v>0</v>
      </c>
      <c r="M52" s="89">
        <f>'Module 1'!H3</f>
        <v>1</v>
      </c>
      <c r="N52" s="90">
        <f>COUNTIFS('Module 1'!AQ12:AQ9999,"Pass",'Module 1'!G12:G9999,"Low")</f>
        <v>0</v>
      </c>
      <c r="O52" s="90">
        <f>COUNTIFS('Module 1'!AQ12:AQ9999,"Fail",'Module 1'!G12:G9999,"Low")</f>
        <v>0</v>
      </c>
      <c r="P52" s="90">
        <f>COUNTIFS('Module 1'!AQ12:AQ9999,"Untested",'Module 1'!G12:G9999,"Low")</f>
        <v>0</v>
      </c>
      <c r="Q52" s="90">
        <f>COUNTIFS('Module 1'!AQ12:AQ9999,"Rejected",'Module 1'!G12:G9999,"Low")</f>
        <v>0</v>
      </c>
      <c r="R52" s="91">
        <f>'Module 1'!I3</f>
        <v>1</v>
      </c>
      <c r="S52" s="92">
        <f>'Module 1'!J3</f>
        <v>3</v>
      </c>
      <c r="T52" s="82">
        <f>'Module 1'!D1</f>
        <v>0</v>
      </c>
      <c r="U52" s="82">
        <f>'Module 1'!J8</f>
        <v>0</v>
      </c>
      <c r="V52" s="117"/>
      <c r="W52" s="118"/>
      <c r="X52" s="119"/>
    </row>
  </sheetData>
  <mergeCells count="67">
    <mergeCell ref="V51:X51"/>
    <mergeCell ref="V42:X42"/>
    <mergeCell ref="V52:X52"/>
    <mergeCell ref="B37:B42"/>
    <mergeCell ref="A47:A52"/>
    <mergeCell ref="B47:B52"/>
    <mergeCell ref="V48:X48"/>
    <mergeCell ref="V39:X39"/>
    <mergeCell ref="V49:X49"/>
    <mergeCell ref="V40:X40"/>
    <mergeCell ref="V50:X50"/>
    <mergeCell ref="T45:T46"/>
    <mergeCell ref="U45:U46"/>
    <mergeCell ref="V45:X46"/>
    <mergeCell ref="V37:X37"/>
    <mergeCell ref="V47:X47"/>
    <mergeCell ref="A44:B45"/>
    <mergeCell ref="D45:H45"/>
    <mergeCell ref="I45:M45"/>
    <mergeCell ref="N45:R45"/>
    <mergeCell ref="S45:S46"/>
    <mergeCell ref="S35:S36"/>
    <mergeCell ref="T35:T36"/>
    <mergeCell ref="U35:U36"/>
    <mergeCell ref="V35:X36"/>
    <mergeCell ref="D35:H35"/>
    <mergeCell ref="I35:M35"/>
    <mergeCell ref="N35:R35"/>
    <mergeCell ref="V23:X23"/>
    <mergeCell ref="D24:H24"/>
    <mergeCell ref="I24:M24"/>
    <mergeCell ref="N24:R24"/>
    <mergeCell ref="S24:S25"/>
    <mergeCell ref="T24:T25"/>
    <mergeCell ref="U24:U25"/>
    <mergeCell ref="V24:V25"/>
    <mergeCell ref="W24:W25"/>
    <mergeCell ref="X24:X25"/>
    <mergeCell ref="X13:X14"/>
    <mergeCell ref="A21:C21"/>
    <mergeCell ref="A23:C25"/>
    <mergeCell ref="D23:R23"/>
    <mergeCell ref="S23:U23"/>
    <mergeCell ref="A26:B31"/>
    <mergeCell ref="A32:C32"/>
    <mergeCell ref="A4:B9"/>
    <mergeCell ref="A11:B11"/>
    <mergeCell ref="A15:B20"/>
    <mergeCell ref="A12:C14"/>
    <mergeCell ref="A34:B35"/>
    <mergeCell ref="A37:A42"/>
    <mergeCell ref="D2:J2"/>
    <mergeCell ref="K2:Q2"/>
    <mergeCell ref="A3:B3"/>
    <mergeCell ref="D12:R12"/>
    <mergeCell ref="D13:H13"/>
    <mergeCell ref="I13:M13"/>
    <mergeCell ref="N13:R13"/>
    <mergeCell ref="S12:U12"/>
    <mergeCell ref="S13:S14"/>
    <mergeCell ref="T13:T14"/>
    <mergeCell ref="U13:U14"/>
    <mergeCell ref="V12:X12"/>
    <mergeCell ref="V13:V14"/>
    <mergeCell ref="W13:W14"/>
    <mergeCell ref="V38:X38"/>
    <mergeCell ref="V41:X41"/>
  </mergeCells>
  <phoneticPr fontId="12"/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mplateAllSheet">
                <anchor moveWithCells="1" sizeWithCells="1">
                  <from>
                    <xdr:col>0</xdr:col>
                    <xdr:colOff>257175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9D4A5-932B-48FC-8F01-335ACA74BC04}">
  <sheetPr codeName="Sheet3"/>
  <dimension ref="A1:CV110"/>
  <sheetViews>
    <sheetView zoomScale="90" zoomScaleNormal="90" zoomScalePageLayoutView="180" workbookViewId="0">
      <selection activeCell="K16" sqref="A16:K16"/>
    </sheetView>
  </sheetViews>
  <sheetFormatPr defaultColWidth="8.85546875" defaultRowHeight="15"/>
  <cols>
    <col min="1" max="1" width="20.7109375" customWidth="1"/>
    <col min="2" max="2" width="15.140625" customWidth="1"/>
    <col min="3" max="3" width="22.140625" customWidth="1"/>
    <col min="4" max="4" width="26.140625" customWidth="1"/>
    <col min="5" max="5" width="14.5703125" customWidth="1"/>
    <col min="6" max="6" width="26.5703125" customWidth="1"/>
    <col min="7" max="7" width="11.42578125" customWidth="1"/>
    <col min="8" max="8" width="13.42578125" customWidth="1"/>
    <col min="9" max="9" width="10.85546875" customWidth="1"/>
    <col min="10" max="10" width="14.140625" customWidth="1"/>
    <col min="11" max="11" width="12.7109375" customWidth="1"/>
    <col min="12" max="12" width="9.5703125" customWidth="1"/>
    <col min="13" max="13" width="13.7109375" customWidth="1"/>
    <col min="14" max="14" width="14.7109375" customWidth="1"/>
    <col min="15" max="15" width="13.42578125" customWidth="1"/>
    <col min="16" max="18" width="10.85546875" customWidth="1"/>
    <col min="19" max="19" width="11.140625" customWidth="1"/>
    <col min="20" max="20" width="10.42578125" customWidth="1"/>
    <col min="21" max="21" width="11.5703125" customWidth="1"/>
    <col min="22" max="22" width="13.42578125" customWidth="1"/>
    <col min="23" max="23" width="19.42578125" customWidth="1"/>
  </cols>
  <sheetData>
    <row r="1" spans="1:100" ht="30.75" customHeight="1">
      <c r="A1" s="3" t="s">
        <v>29</v>
      </c>
      <c r="B1" s="30" t="s">
        <v>65</v>
      </c>
      <c r="C1" s="4" t="s">
        <v>30</v>
      </c>
      <c r="D1" s="30"/>
      <c r="E1" s="1"/>
      <c r="F1" s="31" t="s">
        <v>23</v>
      </c>
      <c r="G1" s="57" t="s">
        <v>31</v>
      </c>
      <c r="H1" s="58"/>
      <c r="I1" s="58"/>
      <c r="J1" s="59"/>
      <c r="K1" s="52" t="s">
        <v>17</v>
      </c>
      <c r="L1" s="53"/>
      <c r="M1" s="53"/>
      <c r="N1" s="53"/>
      <c r="O1" s="53"/>
      <c r="P1" s="54"/>
      <c r="Q1" s="52" t="s">
        <v>32</v>
      </c>
      <c r="R1" s="53"/>
      <c r="S1" s="53"/>
      <c r="T1" s="53"/>
      <c r="U1" s="53"/>
      <c r="V1" s="54"/>
      <c r="W1" s="15"/>
      <c r="X1" s="15"/>
      <c r="Y1" s="16"/>
      <c r="Z1" s="16"/>
      <c r="AA1" s="16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  <c r="AO1" s="16"/>
      <c r="AP1" s="16"/>
      <c r="AQ1" s="16"/>
      <c r="AR1" s="16"/>
      <c r="AS1" s="16"/>
      <c r="AT1" s="16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8"/>
    </row>
    <row r="2" spans="1:100" ht="31.5">
      <c r="A2" s="3" t="s">
        <v>33</v>
      </c>
      <c r="B2" s="39" t="str">
        <f>Cover!D3</f>
        <v>Nhập tên dự án</v>
      </c>
      <c r="C2" s="4" t="s">
        <v>34</v>
      </c>
      <c r="D2" s="32"/>
      <c r="E2" s="1"/>
      <c r="F2" s="38"/>
      <c r="G2" s="31" t="s">
        <v>24</v>
      </c>
      <c r="H2" s="31" t="s">
        <v>25</v>
      </c>
      <c r="I2" s="31" t="s">
        <v>26</v>
      </c>
      <c r="J2" s="31" t="s">
        <v>22</v>
      </c>
      <c r="K2" s="31" t="s">
        <v>18</v>
      </c>
      <c r="L2" s="31" t="s">
        <v>19</v>
      </c>
      <c r="M2" s="31" t="s">
        <v>20</v>
      </c>
      <c r="N2" s="31" t="s">
        <v>21</v>
      </c>
      <c r="O2" s="31" t="s">
        <v>35</v>
      </c>
      <c r="P2" s="31" t="s">
        <v>36</v>
      </c>
      <c r="Q2" s="31" t="s">
        <v>18</v>
      </c>
      <c r="R2" s="31" t="s">
        <v>19</v>
      </c>
      <c r="S2" s="31" t="s">
        <v>20</v>
      </c>
      <c r="T2" s="31" t="s">
        <v>21</v>
      </c>
      <c r="U2" s="31" t="s">
        <v>37</v>
      </c>
      <c r="V2" s="31" t="s">
        <v>36</v>
      </c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8"/>
    </row>
    <row r="3" spans="1:100" ht="15.75">
      <c r="A3" s="3" t="s">
        <v>5</v>
      </c>
      <c r="B3" s="39" t="str">
        <f>Cover!D4</f>
        <v xml:space="preserve">Nhâp tên phase </v>
      </c>
      <c r="C3" s="4" t="s">
        <v>38</v>
      </c>
      <c r="D3" s="32"/>
      <c r="E3" s="1"/>
      <c r="F3" s="109" t="str">
        <f>Report!C4</f>
        <v>EV1</v>
      </c>
      <c r="G3" s="110">
        <f>COUNTIF(G12:G1004,"High")</f>
        <v>1</v>
      </c>
      <c r="H3" s="110">
        <f>COUNTIF(G12:G1004,"Normal")</f>
        <v>1</v>
      </c>
      <c r="I3" s="110">
        <f>COUNTIF(G12:G1004,"Low")</f>
        <v>1</v>
      </c>
      <c r="J3" s="110">
        <f>SUM(G3:I3)</f>
        <v>3</v>
      </c>
      <c r="K3" s="111">
        <f>COUNTIF(I12:I1012,"Pass")</f>
        <v>0</v>
      </c>
      <c r="L3" s="111">
        <f>COUNTIF(I12:I1012,"Fail")</f>
        <v>0</v>
      </c>
      <c r="M3" s="111">
        <f>J3-K3-L3-N3</f>
        <v>3</v>
      </c>
      <c r="N3" s="111">
        <f>COUNTIF(I12:I1012,"Rejected")</f>
        <v>0</v>
      </c>
      <c r="O3" s="112">
        <f>(K3+L3)/(J3-N3)</f>
        <v>0</v>
      </c>
      <c r="P3" s="112">
        <f>K3/(J3-N3)</f>
        <v>0</v>
      </c>
      <c r="Q3" s="111">
        <f>COUNTIF(AB12:AB1011,"Pass")</f>
        <v>0</v>
      </c>
      <c r="R3" s="111">
        <f>COUNTIF(AB12:AB1011,"Fail")</f>
        <v>0</v>
      </c>
      <c r="S3" s="111">
        <f>J3-Q3-R3-T3</f>
        <v>3</v>
      </c>
      <c r="T3" s="111">
        <f>COUNTIF(AB12:AB1011,"Rejected")</f>
        <v>0</v>
      </c>
      <c r="U3" s="112">
        <f>(Q3+R3)/(J3-T3)</f>
        <v>0</v>
      </c>
      <c r="V3" s="112">
        <f>Q3/(J3-T3)</f>
        <v>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8"/>
    </row>
    <row r="4" spans="1:100" ht="15.75">
      <c r="A4" s="3"/>
      <c r="B4" s="43"/>
      <c r="C4" s="4"/>
      <c r="D4" s="44"/>
      <c r="E4" s="1"/>
      <c r="F4" s="113" t="str">
        <f>Report!C5</f>
        <v>EV2</v>
      </c>
      <c r="G4" s="114"/>
      <c r="H4" s="114"/>
      <c r="I4" s="114"/>
      <c r="J4" s="114"/>
      <c r="K4" s="115">
        <f>COUNTIF(L12:L1012,"Pass")</f>
        <v>0</v>
      </c>
      <c r="L4" s="115">
        <f>COUNTIF(L12:L1012,"Fail")</f>
        <v>0</v>
      </c>
      <c r="M4" s="115">
        <f>J3-K4-L4-N4</f>
        <v>3</v>
      </c>
      <c r="N4" s="115">
        <f>COUNTIF(L12:L1012,"Rejected")</f>
        <v>0</v>
      </c>
      <c r="O4" s="116">
        <f>(K4+L4)/(J3-N4)</f>
        <v>0</v>
      </c>
      <c r="P4" s="116">
        <f>K4/(J3-N4)</f>
        <v>0</v>
      </c>
      <c r="Q4" s="115">
        <f>COUNTIF(AE12:AE1011,"Pass")</f>
        <v>0</v>
      </c>
      <c r="R4" s="115">
        <f>COUNTIF(AE12:AE1011,"Fail")</f>
        <v>0</v>
      </c>
      <c r="S4" s="115">
        <f>J3-Q4-R4-T4</f>
        <v>3</v>
      </c>
      <c r="T4" s="115">
        <f>COUNTIF(AE12:AE1011,"Rejected")</f>
        <v>0</v>
      </c>
      <c r="U4" s="116">
        <f>(Q4+R4)/(J3-T4)</f>
        <v>0</v>
      </c>
      <c r="V4" s="116">
        <f>Q4/(J3-T4)</f>
        <v>0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8"/>
    </row>
    <row r="5" spans="1:100" ht="15.75">
      <c r="A5" s="3"/>
      <c r="B5" s="43"/>
      <c r="C5" s="4"/>
      <c r="D5" s="44"/>
      <c r="E5" s="1"/>
      <c r="F5" s="113" t="str">
        <f>Report!C6</f>
        <v>EV3</v>
      </c>
      <c r="G5" s="114"/>
      <c r="H5" s="114"/>
      <c r="I5" s="114"/>
      <c r="J5" s="114"/>
      <c r="K5" s="115">
        <f>COUNTIF(O12:O1012,"Pass")</f>
        <v>0</v>
      </c>
      <c r="L5" s="115">
        <f>COUNTIF(O12:O1012,"Fail")</f>
        <v>0</v>
      </c>
      <c r="M5" s="115">
        <f>J3-K5-L5-N5</f>
        <v>3</v>
      </c>
      <c r="N5" s="115">
        <f>COUNTIF(O12:O1012,"Rejected")</f>
        <v>0</v>
      </c>
      <c r="O5" s="116">
        <f>(K5+L5)/(J3-N5)</f>
        <v>0</v>
      </c>
      <c r="P5" s="116">
        <f>K5/(J3-N5)</f>
        <v>0</v>
      </c>
      <c r="Q5" s="115">
        <f>COUNTIF(AH12:AH1011,"Pass")</f>
        <v>0</v>
      </c>
      <c r="R5" s="115">
        <f>COUNTIF(AH12:AH1011,"Fail")</f>
        <v>0</v>
      </c>
      <c r="S5" s="115">
        <f>J3-Q5-R5-T5</f>
        <v>3</v>
      </c>
      <c r="T5" s="115">
        <f>COUNTIF(AH12:AH1011,"Rejected")</f>
        <v>0</v>
      </c>
      <c r="U5" s="116">
        <f>(Q5+R5)/(J3-T5)</f>
        <v>0</v>
      </c>
      <c r="V5" s="116">
        <f>Q5/(J3-T5)</f>
        <v>0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</row>
    <row r="6" spans="1:100" ht="15.75">
      <c r="A6" s="3"/>
      <c r="B6" s="43"/>
      <c r="C6" s="4"/>
      <c r="D6" s="44"/>
      <c r="E6" s="1"/>
      <c r="F6" s="113" t="str">
        <f>Report!C7</f>
        <v>EV4</v>
      </c>
      <c r="G6" s="114"/>
      <c r="H6" s="114"/>
      <c r="I6" s="114"/>
      <c r="J6" s="114"/>
      <c r="K6" s="115">
        <f>COUNTIF(R12:R1012,"Pass")</f>
        <v>0</v>
      </c>
      <c r="L6" s="115">
        <f>COUNTIF(R12:R1012,"Fail")</f>
        <v>0</v>
      </c>
      <c r="M6" s="115">
        <f>J3-K6-L6-N6</f>
        <v>3</v>
      </c>
      <c r="N6" s="115">
        <f>COUNTIF(R12:R1012,"Rejected")</f>
        <v>0</v>
      </c>
      <c r="O6" s="116">
        <f>(K6+L6)/(J3-N6)</f>
        <v>0</v>
      </c>
      <c r="P6" s="116">
        <f>K6/(J3-N6)</f>
        <v>0</v>
      </c>
      <c r="Q6" s="115">
        <f>COUNTIF(AK12:AK1011,"Pass")</f>
        <v>0</v>
      </c>
      <c r="R6" s="115">
        <f>COUNTIF(AK12:AK1011,"Fail")</f>
        <v>0</v>
      </c>
      <c r="S6" s="115">
        <f>J3-Q6-R6-T6</f>
        <v>3</v>
      </c>
      <c r="T6" s="115">
        <f>COUNTIF(AK12:AK1011,"Rejected")</f>
        <v>0</v>
      </c>
      <c r="U6" s="116">
        <f>(Q6+R6)/(J3-T6)</f>
        <v>0</v>
      </c>
      <c r="V6" s="116">
        <f>Q6/(J3-T6)</f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</row>
    <row r="7" spans="1:100" ht="15.75">
      <c r="A7" s="3"/>
      <c r="B7" s="43"/>
      <c r="C7" s="4"/>
      <c r="D7" s="44"/>
      <c r="E7" s="1"/>
      <c r="F7" s="113" t="str">
        <f>Report!C8</f>
        <v>EV5</v>
      </c>
      <c r="G7" s="114"/>
      <c r="H7" s="114"/>
      <c r="I7" s="114"/>
      <c r="J7" s="114"/>
      <c r="K7" s="115">
        <f>COUNTIF(U12:U1012,"Pass")</f>
        <v>0</v>
      </c>
      <c r="L7" s="115">
        <f>COUNTIF(U12:U1012,"Fail")</f>
        <v>0</v>
      </c>
      <c r="M7" s="115">
        <f>J3-K7-L7-N7</f>
        <v>3</v>
      </c>
      <c r="N7" s="115">
        <f>COUNTIF(U12:U1012,"Rejected")</f>
        <v>0</v>
      </c>
      <c r="O7" s="116">
        <f>(K7+L7)/(J3-N7)</f>
        <v>0</v>
      </c>
      <c r="P7" s="116">
        <f>K7/(J3-N7)</f>
        <v>0</v>
      </c>
      <c r="Q7" s="115">
        <f>COUNTIF(AN12:AN1011,"Pass")</f>
        <v>0</v>
      </c>
      <c r="R7" s="115">
        <f>COUNTIF(AN12:AN1011,"Fail")</f>
        <v>0</v>
      </c>
      <c r="S7" s="115">
        <f>J3-Q7-R7-T7</f>
        <v>3</v>
      </c>
      <c r="T7" s="115">
        <f>COUNTIF(AN12:AN1011,"Rejected")</f>
        <v>0</v>
      </c>
      <c r="U7" s="116">
        <f>(Q7+R7)/(J3-T7)</f>
        <v>0</v>
      </c>
      <c r="V7" s="116">
        <f>Q7/(J3-T7)</f>
        <v>0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8"/>
    </row>
    <row r="8" spans="1:100" ht="15.75">
      <c r="A8" s="3"/>
      <c r="B8" s="43"/>
      <c r="C8" s="4"/>
      <c r="D8" s="44"/>
      <c r="E8" s="1"/>
      <c r="F8" s="113" t="str">
        <f>Report!C9</f>
        <v>EV6</v>
      </c>
      <c r="G8" s="114"/>
      <c r="H8" s="114"/>
      <c r="I8" s="114"/>
      <c r="J8" s="114"/>
      <c r="K8" s="115">
        <f>COUNTIF(X12:X1012,"Pass")</f>
        <v>0</v>
      </c>
      <c r="L8" s="115">
        <f>COUNTIF(X12:X1012,"Fail")</f>
        <v>0</v>
      </c>
      <c r="M8" s="115">
        <f>J3-K8-L8-N8</f>
        <v>3</v>
      </c>
      <c r="N8" s="115">
        <f>COUNTIF(X12:X1012,"Rejected")</f>
        <v>0</v>
      </c>
      <c r="O8" s="116">
        <f>(K8+L8)/(J3-N8)</f>
        <v>0</v>
      </c>
      <c r="P8" s="116">
        <f>K8/(J3-N8)</f>
        <v>0</v>
      </c>
      <c r="Q8" s="115">
        <f>COUNTIF(AQ12:AQ1011,"Pass")</f>
        <v>0</v>
      </c>
      <c r="R8" s="115">
        <f>COUNTIF(AQ12:AQ1011,"Fail")</f>
        <v>0</v>
      </c>
      <c r="S8" s="115">
        <f>J3-Q8-R8-T8</f>
        <v>3</v>
      </c>
      <c r="T8" s="115">
        <f>COUNTIF(AQ12:AQ1011,"Rejected")</f>
        <v>0</v>
      </c>
      <c r="U8" s="116">
        <f>(Q8+R8)/(J3-T8)</f>
        <v>0</v>
      </c>
      <c r="V8" s="116">
        <f>Q8/(J3-T8)</f>
        <v>0</v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8"/>
    </row>
    <row r="9" spans="1:100" ht="15.75">
      <c r="A9" s="1"/>
      <c r="B9" s="1"/>
      <c r="C9" s="2"/>
      <c r="D9" s="1"/>
      <c r="E9" s="1"/>
      <c r="F9" s="2"/>
      <c r="G9" s="2"/>
      <c r="H9" s="1"/>
      <c r="I9" s="20"/>
      <c r="J9" s="20"/>
      <c r="K9" s="20"/>
      <c r="L9" s="20"/>
      <c r="M9" s="20"/>
      <c r="N9" s="20"/>
      <c r="O9" s="1"/>
      <c r="P9" s="20"/>
      <c r="Q9" s="20"/>
      <c r="R9" s="20"/>
      <c r="S9" s="20"/>
      <c r="T9" s="20"/>
      <c r="U9" s="20"/>
      <c r="V9" s="1"/>
      <c r="W9" s="18"/>
    </row>
    <row r="10" spans="1:100" ht="15.75" customHeight="1">
      <c r="A10" s="55" t="s">
        <v>39</v>
      </c>
      <c r="B10" s="55" t="s">
        <v>40</v>
      </c>
      <c r="C10" s="55" t="s">
        <v>50</v>
      </c>
      <c r="D10" s="55" t="s">
        <v>41</v>
      </c>
      <c r="E10" s="55" t="s">
        <v>42</v>
      </c>
      <c r="F10" s="55" t="s">
        <v>43</v>
      </c>
      <c r="G10" s="57" t="s">
        <v>44</v>
      </c>
      <c r="H10" s="102" t="s">
        <v>66</v>
      </c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 t="s">
        <v>68</v>
      </c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 t="s">
        <v>28</v>
      </c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</row>
    <row r="11" spans="1:100" ht="15.75">
      <c r="A11" s="56"/>
      <c r="B11" s="56"/>
      <c r="C11" s="56"/>
      <c r="D11" s="56"/>
      <c r="E11" s="56"/>
      <c r="F11" s="56"/>
      <c r="G11" s="57"/>
      <c r="H11" s="46" t="s">
        <v>67</v>
      </c>
      <c r="I11" s="46" t="str">
        <f>Report!C4</f>
        <v>EV1</v>
      </c>
      <c r="J11" s="46" t="s">
        <v>27</v>
      </c>
      <c r="K11" s="46" t="s">
        <v>45</v>
      </c>
      <c r="L11" s="46" t="str">
        <f>Report!C5</f>
        <v>EV2</v>
      </c>
      <c r="M11" s="46" t="s">
        <v>27</v>
      </c>
      <c r="N11" s="46" t="s">
        <v>45</v>
      </c>
      <c r="O11" s="46" t="str">
        <f>Report!C6</f>
        <v>EV3</v>
      </c>
      <c r="P11" s="104" t="s">
        <v>27</v>
      </c>
      <c r="Q11" s="104" t="s">
        <v>45</v>
      </c>
      <c r="R11" s="104" t="str">
        <f>Report!C7</f>
        <v>EV4</v>
      </c>
      <c r="S11" s="104" t="s">
        <v>27</v>
      </c>
      <c r="T11" s="104" t="s">
        <v>45</v>
      </c>
      <c r="U11" s="104" t="str">
        <f>Report!C8</f>
        <v>EV5</v>
      </c>
      <c r="V11" s="104" t="s">
        <v>27</v>
      </c>
      <c r="W11" s="104" t="s">
        <v>45</v>
      </c>
      <c r="X11" s="104" t="str">
        <f>Report!C9</f>
        <v>EV6</v>
      </c>
      <c r="Y11" s="104" t="s">
        <v>27</v>
      </c>
      <c r="Z11" s="104" t="s">
        <v>45</v>
      </c>
      <c r="AA11" s="104" t="s">
        <v>67</v>
      </c>
      <c r="AB11" s="104" t="str">
        <f>Report!C4</f>
        <v>EV1</v>
      </c>
      <c r="AC11" s="104" t="s">
        <v>27</v>
      </c>
      <c r="AD11" s="104" t="s">
        <v>45</v>
      </c>
      <c r="AE11" s="104" t="str">
        <f>Report!C5</f>
        <v>EV2</v>
      </c>
      <c r="AF11" s="104" t="s">
        <v>27</v>
      </c>
      <c r="AG11" s="104" t="s">
        <v>45</v>
      </c>
      <c r="AH11" s="104" t="str">
        <f>Report!C6</f>
        <v>EV3</v>
      </c>
      <c r="AI11" s="104" t="s">
        <v>27</v>
      </c>
      <c r="AJ11" s="104" t="s">
        <v>45</v>
      </c>
      <c r="AK11" s="104" t="str">
        <f>Report!C7</f>
        <v>EV4</v>
      </c>
      <c r="AL11" s="104" t="s">
        <v>27</v>
      </c>
      <c r="AM11" s="104" t="s">
        <v>45</v>
      </c>
      <c r="AN11" s="104" t="str">
        <f>Report!C8</f>
        <v>EV5</v>
      </c>
      <c r="AO11" s="104" t="s">
        <v>27</v>
      </c>
      <c r="AP11" s="104" t="s">
        <v>45</v>
      </c>
      <c r="AQ11" s="104" t="str">
        <f>Report!C9</f>
        <v>EV6</v>
      </c>
      <c r="AR11" s="104" t="s">
        <v>27</v>
      </c>
      <c r="AS11" s="104" t="s">
        <v>45</v>
      </c>
      <c r="AT11" s="103"/>
      <c r="AU11" s="108"/>
      <c r="AV11" s="108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</row>
    <row r="12" spans="1:100" ht="204.75">
      <c r="A12" s="33" t="str">
        <f>IF(G12&lt;&gt;"",""&amp;TEXT($B$1,"##")&amp;"-"&amp; (ROW()-5)-COUNTBLANK(G$10:G12),"")</f>
        <v>Module 1-6</v>
      </c>
      <c r="B12" s="33" t="s">
        <v>46</v>
      </c>
      <c r="C12" s="33" t="s">
        <v>47</v>
      </c>
      <c r="D12" s="33" t="s">
        <v>48</v>
      </c>
      <c r="E12" s="34"/>
      <c r="F12" s="34" t="s">
        <v>49</v>
      </c>
      <c r="G12" s="35" t="s">
        <v>24</v>
      </c>
      <c r="H12" s="105"/>
      <c r="I12" s="105"/>
      <c r="J12" s="105"/>
      <c r="K12" s="106"/>
      <c r="L12" s="105"/>
      <c r="M12" s="105"/>
      <c r="N12" s="105"/>
      <c r="O12" s="105"/>
      <c r="P12" s="105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</row>
    <row r="13" spans="1:100" ht="15.75">
      <c r="A13" s="33" t="str">
        <f>IF(G13&lt;&gt;"",""&amp;TEXT($B$1,"##")&amp;"-"&amp; (ROW()-5)-COUNTBLANK(G$10:G13),"")</f>
        <v>Module 1-7</v>
      </c>
      <c r="B13" s="33"/>
      <c r="C13" s="33"/>
      <c r="D13" s="33"/>
      <c r="E13" s="34"/>
      <c r="F13" s="34"/>
      <c r="G13" s="35" t="s">
        <v>25</v>
      </c>
      <c r="H13" s="105"/>
      <c r="I13" s="105"/>
      <c r="J13" s="105"/>
      <c r="K13" s="106"/>
      <c r="L13" s="105"/>
      <c r="M13" s="105"/>
      <c r="N13" s="105"/>
      <c r="O13" s="105"/>
      <c r="P13" s="105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</row>
    <row r="14" spans="1:100" ht="15.75">
      <c r="A14" s="33" t="str">
        <f>IF(G14&lt;&gt;"",""&amp;TEXT($B$1,"##")&amp;"-"&amp; (ROW()-5)-COUNTBLANK(G$10:G14),"")</f>
        <v>Module 1-8</v>
      </c>
      <c r="B14" s="33"/>
      <c r="C14" s="33"/>
      <c r="D14" s="33"/>
      <c r="E14" s="34"/>
      <c r="F14" s="34"/>
      <c r="G14" s="35" t="s">
        <v>26</v>
      </c>
      <c r="H14" s="105"/>
      <c r="I14" s="105"/>
      <c r="J14" s="105"/>
      <c r="K14" s="106"/>
      <c r="L14" s="105"/>
      <c r="M14" s="105"/>
      <c r="N14" s="105"/>
      <c r="O14" s="105"/>
      <c r="P14" s="105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</row>
    <row r="15" spans="1:100" ht="15.75">
      <c r="A15" s="33" t="str">
        <f>IF(G15&lt;&gt;"",""&amp;TEXT($B$1,"##")&amp;"-"&amp; (ROW()-5)-COUNTBLANK(G$10:G15),"")</f>
        <v/>
      </c>
      <c r="B15" s="33"/>
      <c r="C15" s="33"/>
      <c r="E15" s="34"/>
      <c r="F15" s="34"/>
      <c r="G15" s="35"/>
      <c r="H15" s="105"/>
      <c r="I15" s="105"/>
      <c r="J15" s="105"/>
      <c r="K15" s="106"/>
      <c r="L15" s="105"/>
      <c r="M15" s="105"/>
      <c r="N15" s="105"/>
      <c r="O15" s="105"/>
      <c r="P15" s="105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</row>
    <row r="16" spans="1:100" ht="15.75">
      <c r="A16" s="33" t="str">
        <f>IF(G16&lt;&gt;"",""&amp;TEXT($B$1,"##")&amp;"-"&amp; (ROW()-5)-COUNTBLANK(G$10:G16),"")</f>
        <v/>
      </c>
      <c r="B16" s="33"/>
      <c r="C16" s="33"/>
      <c r="D16" s="33"/>
      <c r="E16" s="34"/>
      <c r="F16" s="34"/>
      <c r="G16" s="35"/>
      <c r="H16" s="105"/>
      <c r="I16" s="105"/>
      <c r="J16" s="105"/>
      <c r="K16" s="106"/>
      <c r="L16" s="105"/>
      <c r="M16" s="105"/>
      <c r="N16" s="105"/>
      <c r="O16" s="105"/>
      <c r="P16" s="105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</row>
    <row r="17" spans="1:100" ht="15.75">
      <c r="A17" s="33" t="str">
        <f>IF(G17&lt;&gt;"",""&amp;TEXT($B$1,"##")&amp;"-"&amp; (ROW()-5)-COUNTBLANK(G$10:G17),"")</f>
        <v/>
      </c>
      <c r="B17" s="33"/>
      <c r="C17" s="33"/>
      <c r="D17" s="33"/>
      <c r="E17" s="34"/>
      <c r="F17" s="34"/>
      <c r="G17" s="35"/>
      <c r="H17" s="105"/>
      <c r="I17" s="105"/>
      <c r="J17" s="105"/>
      <c r="K17" s="106"/>
      <c r="L17" s="105"/>
      <c r="M17" s="105"/>
      <c r="N17" s="105"/>
      <c r="O17" s="105"/>
      <c r="P17" s="105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</row>
    <row r="18" spans="1:100" ht="15.75">
      <c r="A18" s="33" t="str">
        <f>IF(G18&lt;&gt;"",""&amp;TEXT($B$1,"##")&amp;"-"&amp; (ROW()-5)-COUNTBLANK(G$10:G18),"")</f>
        <v/>
      </c>
      <c r="B18" s="33"/>
      <c r="C18" s="33"/>
      <c r="D18" s="33"/>
      <c r="E18" s="34"/>
      <c r="F18" s="34"/>
      <c r="G18" s="35"/>
      <c r="H18" s="105"/>
      <c r="I18" s="105"/>
      <c r="J18" s="105"/>
      <c r="K18" s="106"/>
      <c r="L18" s="105"/>
      <c r="M18" s="105"/>
      <c r="N18" s="105"/>
      <c r="O18" s="105"/>
      <c r="P18" s="105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</row>
    <row r="19" spans="1:100" ht="15.75">
      <c r="A19" s="33"/>
      <c r="B19" s="33"/>
      <c r="C19" s="33"/>
      <c r="D19" s="33"/>
      <c r="E19" s="34"/>
      <c r="F19" s="34"/>
      <c r="G19" s="35"/>
      <c r="H19" s="105"/>
      <c r="I19" s="105"/>
      <c r="J19" s="105"/>
      <c r="K19" s="106"/>
      <c r="L19" s="105"/>
      <c r="M19" s="105"/>
      <c r="N19" s="105"/>
      <c r="O19" s="105"/>
      <c r="P19" s="105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</row>
    <row r="20" spans="1:100" ht="15.75">
      <c r="A20" s="33"/>
      <c r="B20" s="33"/>
      <c r="C20" s="33"/>
      <c r="D20" s="33"/>
      <c r="E20" s="34"/>
      <c r="F20" s="34"/>
      <c r="G20" s="35"/>
      <c r="H20" s="105"/>
      <c r="I20" s="105"/>
      <c r="J20" s="105"/>
      <c r="K20" s="106"/>
      <c r="L20" s="105"/>
      <c r="M20" s="105"/>
      <c r="N20" s="105"/>
      <c r="O20" s="105"/>
      <c r="P20" s="105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</row>
    <row r="21" spans="1:100" ht="15.75">
      <c r="A21" s="33"/>
      <c r="B21" s="33"/>
      <c r="C21" s="33"/>
      <c r="D21" s="33"/>
      <c r="E21" s="34"/>
      <c r="F21" s="34"/>
      <c r="G21" s="35"/>
      <c r="H21" s="105"/>
      <c r="I21" s="105"/>
      <c r="J21" s="105"/>
      <c r="K21" s="106"/>
      <c r="L21" s="105"/>
      <c r="M21" s="105"/>
      <c r="N21" s="105"/>
      <c r="O21" s="105"/>
      <c r="P21" s="105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107"/>
      <c r="AP21" s="107"/>
      <c r="AQ21" s="107"/>
      <c r="AR21" s="107"/>
      <c r="AS21" s="107"/>
      <c r="AT21" s="107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</row>
    <row r="22" spans="1:100" ht="15.75">
      <c r="A22" s="33"/>
      <c r="B22" s="36"/>
      <c r="C22" s="36"/>
      <c r="D22" s="37"/>
      <c r="E22" s="37"/>
      <c r="F22" s="36"/>
      <c r="G22" s="35"/>
      <c r="H22" s="105"/>
      <c r="I22" s="105"/>
      <c r="J22" s="105"/>
      <c r="K22" s="106"/>
      <c r="L22" s="105"/>
      <c r="M22" s="105"/>
      <c r="N22" s="105"/>
      <c r="O22" s="105"/>
      <c r="P22" s="105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7"/>
      <c r="AP22" s="107"/>
      <c r="AQ22" s="107"/>
      <c r="AR22" s="107"/>
      <c r="AS22" s="107"/>
      <c r="AT22" s="107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</row>
    <row r="23" spans="1:100" ht="15.75">
      <c r="A23" s="33"/>
      <c r="B23" s="36"/>
      <c r="C23" s="36"/>
      <c r="D23" s="36"/>
      <c r="E23" s="36"/>
      <c r="F23" s="36"/>
      <c r="G23" s="35"/>
      <c r="H23" s="105"/>
      <c r="I23" s="105"/>
      <c r="J23" s="105"/>
      <c r="K23" s="106"/>
      <c r="L23" s="105"/>
      <c r="M23" s="105"/>
      <c r="N23" s="105"/>
      <c r="O23" s="105"/>
      <c r="P23" s="105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</row>
    <row r="24" spans="1:100" ht="15.75">
      <c r="A24" s="33"/>
      <c r="B24" s="36"/>
      <c r="C24" s="36"/>
      <c r="D24" s="36"/>
      <c r="E24" s="36"/>
      <c r="F24" s="36"/>
      <c r="G24" s="35"/>
      <c r="H24" s="105"/>
      <c r="I24" s="105"/>
      <c r="J24" s="105"/>
      <c r="K24" s="106"/>
      <c r="L24" s="105"/>
      <c r="M24" s="105"/>
      <c r="N24" s="105"/>
      <c r="O24" s="105"/>
      <c r="P24" s="105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</row>
    <row r="25" spans="1:100" ht="15.75">
      <c r="A25" s="33"/>
      <c r="B25" s="36"/>
      <c r="C25" s="36"/>
      <c r="D25" s="36"/>
      <c r="E25" s="36"/>
      <c r="F25" s="36"/>
      <c r="G25" s="35"/>
      <c r="H25" s="105"/>
      <c r="I25" s="105"/>
      <c r="J25" s="105"/>
      <c r="K25" s="106"/>
      <c r="L25" s="105"/>
      <c r="M25" s="105"/>
      <c r="N25" s="105"/>
      <c r="O25" s="105"/>
      <c r="P25" s="105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</row>
    <row r="26" spans="1:100" ht="15.75">
      <c r="A26" s="33"/>
      <c r="B26" s="36"/>
      <c r="C26" s="36"/>
      <c r="D26" s="36"/>
      <c r="E26" s="36"/>
      <c r="F26" s="36"/>
      <c r="G26" s="35"/>
      <c r="H26" s="105"/>
      <c r="I26" s="105"/>
      <c r="J26" s="105"/>
      <c r="K26" s="106"/>
      <c r="L26" s="105"/>
      <c r="M26" s="105"/>
      <c r="N26" s="105"/>
      <c r="O26" s="105"/>
      <c r="P26" s="105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107"/>
      <c r="AP26" s="107"/>
      <c r="AQ26" s="107"/>
      <c r="AR26" s="107"/>
      <c r="AS26" s="107"/>
      <c r="AT26" s="107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</row>
    <row r="27" spans="1:100" ht="15.75">
      <c r="A27" s="33"/>
      <c r="B27" s="36"/>
      <c r="C27" s="36"/>
      <c r="D27" s="36"/>
      <c r="E27" s="36"/>
      <c r="F27" s="36"/>
      <c r="G27" s="35"/>
      <c r="H27" s="105"/>
      <c r="I27" s="105"/>
      <c r="J27" s="105"/>
      <c r="K27" s="106"/>
      <c r="L27" s="105"/>
      <c r="M27" s="105"/>
      <c r="N27" s="105"/>
      <c r="O27" s="105"/>
      <c r="P27" s="105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107"/>
      <c r="AP27" s="107"/>
      <c r="AQ27" s="107"/>
      <c r="AR27" s="107"/>
      <c r="AS27" s="107"/>
      <c r="AT27" s="107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</row>
    <row r="28" spans="1:100" ht="15.75">
      <c r="A28" s="33"/>
      <c r="B28" s="36"/>
      <c r="C28" s="36"/>
      <c r="D28" s="36"/>
      <c r="E28" s="36"/>
      <c r="F28" s="36"/>
      <c r="G28" s="35"/>
      <c r="H28" s="105"/>
      <c r="I28" s="105"/>
      <c r="J28" s="105"/>
      <c r="K28" s="106"/>
      <c r="L28" s="105"/>
      <c r="M28" s="105"/>
      <c r="N28" s="105"/>
      <c r="O28" s="105"/>
      <c r="P28" s="105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</row>
    <row r="29" spans="1:100" ht="15.75">
      <c r="A29" s="33"/>
      <c r="B29" s="36"/>
      <c r="C29" s="36"/>
      <c r="D29" s="36"/>
      <c r="E29" s="36"/>
      <c r="F29" s="36"/>
      <c r="G29" s="35"/>
      <c r="H29" s="105"/>
      <c r="I29" s="105"/>
      <c r="J29" s="105"/>
      <c r="K29" s="106"/>
      <c r="L29" s="105"/>
      <c r="M29" s="105"/>
      <c r="N29" s="105"/>
      <c r="O29" s="105"/>
      <c r="P29" s="105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</row>
    <row r="30" spans="1:100" ht="15.75">
      <c r="A30" s="33"/>
      <c r="B30" s="36"/>
      <c r="C30" s="36"/>
      <c r="D30" s="36"/>
      <c r="E30" s="36"/>
      <c r="F30" s="36"/>
      <c r="G30" s="35"/>
      <c r="H30" s="105"/>
      <c r="I30" s="105"/>
      <c r="J30" s="105"/>
      <c r="K30" s="106"/>
      <c r="L30" s="105"/>
      <c r="M30" s="105"/>
      <c r="N30" s="105"/>
      <c r="O30" s="105"/>
      <c r="P30" s="105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</row>
    <row r="31" spans="1:100" ht="15.75">
      <c r="A31" s="33"/>
      <c r="B31" s="36"/>
      <c r="C31" s="36"/>
      <c r="D31" s="36"/>
      <c r="E31" s="36"/>
      <c r="F31" s="36"/>
      <c r="G31" s="35"/>
      <c r="H31" s="105"/>
      <c r="I31" s="105"/>
      <c r="J31" s="105"/>
      <c r="K31" s="106"/>
      <c r="L31" s="105"/>
      <c r="M31" s="105"/>
      <c r="N31" s="105"/>
      <c r="O31" s="105"/>
      <c r="P31" s="105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</row>
    <row r="32" spans="1:100" ht="15.75">
      <c r="A32" s="33"/>
      <c r="B32" s="36"/>
      <c r="C32" s="36"/>
      <c r="D32" s="36"/>
      <c r="E32" s="36"/>
      <c r="F32" s="36"/>
      <c r="G32" s="35"/>
      <c r="H32" s="105"/>
      <c r="I32" s="105"/>
      <c r="J32" s="105"/>
      <c r="K32" s="106"/>
      <c r="L32" s="105"/>
      <c r="M32" s="105"/>
      <c r="N32" s="105"/>
      <c r="O32" s="105"/>
      <c r="P32" s="105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</row>
    <row r="33" spans="1:100" ht="15.75">
      <c r="A33" s="33"/>
      <c r="B33" s="36"/>
      <c r="C33" s="36"/>
      <c r="D33" s="36"/>
      <c r="E33" s="36"/>
      <c r="F33" s="36"/>
      <c r="G33" s="35"/>
      <c r="H33" s="105"/>
      <c r="I33" s="105"/>
      <c r="J33" s="105"/>
      <c r="K33" s="106"/>
      <c r="L33" s="105"/>
      <c r="M33" s="105"/>
      <c r="N33" s="105"/>
      <c r="O33" s="105"/>
      <c r="P33" s="105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</row>
    <row r="34" spans="1:100" ht="15.75">
      <c r="A34" s="33"/>
      <c r="B34" s="36"/>
      <c r="C34" s="36"/>
      <c r="D34" s="36"/>
      <c r="E34" s="36"/>
      <c r="F34" s="36"/>
      <c r="G34" s="35"/>
      <c r="H34" s="105"/>
      <c r="I34" s="105"/>
      <c r="J34" s="105"/>
      <c r="K34" s="106"/>
      <c r="L34" s="105"/>
      <c r="M34" s="105"/>
      <c r="N34" s="105"/>
      <c r="O34" s="105"/>
      <c r="P34" s="105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</row>
    <row r="35" spans="1:100" ht="15.75">
      <c r="A35" s="33"/>
      <c r="B35" s="36"/>
      <c r="C35" s="36"/>
      <c r="D35" s="36"/>
      <c r="E35" s="36"/>
      <c r="F35" s="36"/>
      <c r="G35" s="35"/>
      <c r="H35" s="105"/>
      <c r="I35" s="105"/>
      <c r="J35" s="105"/>
      <c r="K35" s="106"/>
      <c r="L35" s="105"/>
      <c r="M35" s="105"/>
      <c r="N35" s="105"/>
      <c r="O35" s="105"/>
      <c r="P35" s="105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</row>
    <row r="36" spans="1:100" ht="15.75">
      <c r="A36" s="33"/>
      <c r="B36" s="36"/>
      <c r="C36" s="36"/>
      <c r="D36" s="36"/>
      <c r="E36" s="36"/>
      <c r="F36" s="36"/>
      <c r="G36" s="35"/>
      <c r="H36" s="105"/>
      <c r="I36" s="105"/>
      <c r="J36" s="105"/>
      <c r="K36" s="106"/>
      <c r="L36" s="105"/>
      <c r="M36" s="105"/>
      <c r="N36" s="105"/>
      <c r="O36" s="105"/>
      <c r="P36" s="105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</row>
    <row r="37" spans="1:100" ht="15.75">
      <c r="A37" s="33"/>
      <c r="B37" s="36"/>
      <c r="C37" s="36"/>
      <c r="D37" s="36"/>
      <c r="E37" s="36"/>
      <c r="F37" s="36"/>
      <c r="G37" s="35"/>
      <c r="H37" s="105"/>
      <c r="I37" s="105"/>
      <c r="J37" s="105"/>
      <c r="K37" s="106"/>
      <c r="L37" s="105"/>
      <c r="M37" s="105"/>
      <c r="N37" s="105"/>
      <c r="O37" s="105"/>
      <c r="P37" s="105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</row>
    <row r="38" spans="1:100" ht="15.75">
      <c r="A38" s="33"/>
      <c r="B38" s="36"/>
      <c r="C38" s="36"/>
      <c r="D38" s="36"/>
      <c r="E38" s="36"/>
      <c r="F38" s="36"/>
      <c r="G38" s="35"/>
      <c r="H38" s="105"/>
      <c r="I38" s="105"/>
      <c r="J38" s="105"/>
      <c r="K38" s="106"/>
      <c r="L38" s="105"/>
      <c r="M38" s="105"/>
      <c r="N38" s="105"/>
      <c r="O38" s="105"/>
      <c r="P38" s="105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</row>
    <row r="39" spans="1:100" ht="15.75">
      <c r="A39" s="33"/>
      <c r="B39" s="36"/>
      <c r="C39" s="36"/>
      <c r="D39" s="36"/>
      <c r="E39" s="36"/>
      <c r="F39" s="36"/>
      <c r="G39" s="35"/>
      <c r="H39" s="105"/>
      <c r="I39" s="105"/>
      <c r="J39" s="105"/>
      <c r="K39" s="106"/>
      <c r="L39" s="105"/>
      <c r="M39" s="105"/>
      <c r="N39" s="105"/>
      <c r="O39" s="105"/>
      <c r="P39" s="105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</row>
    <row r="40" spans="1:100" ht="15.75">
      <c r="A40" s="33"/>
      <c r="B40" s="36"/>
      <c r="C40" s="36"/>
      <c r="D40" s="36"/>
      <c r="E40" s="36"/>
      <c r="F40" s="36"/>
      <c r="G40" s="35"/>
      <c r="H40" s="105"/>
      <c r="I40" s="105"/>
      <c r="J40" s="105"/>
      <c r="K40" s="106"/>
      <c r="L40" s="105"/>
      <c r="M40" s="105"/>
      <c r="N40" s="105"/>
      <c r="O40" s="105"/>
      <c r="P40" s="105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</row>
    <row r="41" spans="1:100" ht="15.75">
      <c r="A41" s="33"/>
      <c r="B41" s="36"/>
      <c r="C41" s="36"/>
      <c r="D41" s="36"/>
      <c r="E41" s="36"/>
      <c r="F41" s="36"/>
      <c r="G41" s="35"/>
      <c r="H41" s="105"/>
      <c r="I41" s="105"/>
      <c r="J41" s="105"/>
      <c r="K41" s="106"/>
      <c r="L41" s="105"/>
      <c r="M41" s="105"/>
      <c r="N41" s="105"/>
      <c r="O41" s="105"/>
      <c r="P41" s="105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</row>
    <row r="42" spans="1:100" ht="15.75">
      <c r="A42" s="33"/>
      <c r="B42" s="36"/>
      <c r="C42" s="36"/>
      <c r="D42" s="36"/>
      <c r="E42" s="36"/>
      <c r="F42" s="36"/>
      <c r="G42" s="35"/>
      <c r="H42" s="105"/>
      <c r="I42" s="105"/>
      <c r="J42" s="105"/>
      <c r="K42" s="106"/>
      <c r="L42" s="105"/>
      <c r="M42" s="105"/>
      <c r="N42" s="105"/>
      <c r="O42" s="105"/>
      <c r="P42" s="105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</row>
    <row r="43" spans="1:100" ht="15.75">
      <c r="A43" s="33"/>
      <c r="B43" s="36"/>
      <c r="C43" s="36"/>
      <c r="D43" s="36"/>
      <c r="E43" s="36"/>
      <c r="F43" s="36"/>
      <c r="G43" s="35"/>
      <c r="H43" s="105"/>
      <c r="I43" s="105"/>
      <c r="J43" s="105"/>
      <c r="K43" s="106"/>
      <c r="L43" s="105"/>
      <c r="M43" s="105"/>
      <c r="N43" s="105"/>
      <c r="O43" s="105"/>
      <c r="P43" s="105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</row>
    <row r="44" spans="1:100" ht="15.75">
      <c r="A44" s="33"/>
      <c r="B44" s="36"/>
      <c r="C44" s="36"/>
      <c r="D44" s="36"/>
      <c r="E44" s="36"/>
      <c r="F44" s="36"/>
      <c r="G44" s="35"/>
      <c r="H44" s="105"/>
      <c r="I44" s="105"/>
      <c r="J44" s="105"/>
      <c r="K44" s="106"/>
      <c r="L44" s="105"/>
      <c r="M44" s="105"/>
      <c r="N44" s="105"/>
      <c r="O44" s="105"/>
      <c r="P44" s="105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</row>
    <row r="45" spans="1:100" ht="15.75">
      <c r="A45" s="33"/>
      <c r="B45" s="36"/>
      <c r="C45" s="36"/>
      <c r="D45" s="36"/>
      <c r="E45" s="36"/>
      <c r="F45" s="36"/>
      <c r="G45" s="35"/>
      <c r="H45" s="105"/>
      <c r="I45" s="105"/>
      <c r="J45" s="105"/>
      <c r="K45" s="106"/>
      <c r="L45" s="105"/>
      <c r="M45" s="105"/>
      <c r="N45" s="105"/>
      <c r="O45" s="105"/>
      <c r="P45" s="105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</row>
    <row r="46" spans="1:100" ht="15.75">
      <c r="A46" s="33"/>
      <c r="B46" s="36"/>
      <c r="C46" s="36"/>
      <c r="D46" s="36"/>
      <c r="E46" s="36"/>
      <c r="F46" s="36"/>
      <c r="G46" s="35"/>
      <c r="H46" s="105"/>
      <c r="I46" s="105"/>
      <c r="J46" s="105"/>
      <c r="K46" s="106"/>
      <c r="L46" s="105"/>
      <c r="M46" s="105"/>
      <c r="N46" s="105"/>
      <c r="O46" s="105"/>
      <c r="P46" s="105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</row>
    <row r="47" spans="1:100" ht="15.75">
      <c r="A47" s="33"/>
      <c r="B47" s="36"/>
      <c r="C47" s="36"/>
      <c r="D47" s="36"/>
      <c r="E47" s="36"/>
      <c r="F47" s="36"/>
      <c r="G47" s="35"/>
      <c r="H47" s="105"/>
      <c r="I47" s="105"/>
      <c r="J47" s="105"/>
      <c r="K47" s="106"/>
      <c r="L47" s="105"/>
      <c r="M47" s="105"/>
      <c r="N47" s="105"/>
      <c r="O47" s="105"/>
      <c r="P47" s="105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</row>
    <row r="48" spans="1:100" ht="15.75">
      <c r="A48" s="33"/>
      <c r="B48" s="36"/>
      <c r="C48" s="36"/>
      <c r="D48" s="36"/>
      <c r="E48" s="36"/>
      <c r="F48" s="36"/>
      <c r="G48" s="35"/>
      <c r="H48" s="105"/>
      <c r="I48" s="105"/>
      <c r="J48" s="105"/>
      <c r="K48" s="106"/>
      <c r="L48" s="105"/>
      <c r="M48" s="105"/>
      <c r="N48" s="105"/>
      <c r="O48" s="105"/>
      <c r="P48" s="105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</row>
    <row r="49" spans="1:100" ht="15.75">
      <c r="A49" s="33"/>
      <c r="B49" s="36"/>
      <c r="C49" s="36"/>
      <c r="D49" s="36"/>
      <c r="E49" s="36"/>
      <c r="F49" s="36"/>
      <c r="G49" s="35"/>
      <c r="H49" s="105"/>
      <c r="I49" s="105"/>
      <c r="J49" s="105"/>
      <c r="K49" s="106"/>
      <c r="L49" s="105"/>
      <c r="M49" s="105"/>
      <c r="N49" s="105"/>
      <c r="O49" s="105"/>
      <c r="P49" s="105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</row>
    <row r="50" spans="1:100" ht="15.75">
      <c r="A50" s="33"/>
      <c r="B50" s="36"/>
      <c r="C50" s="36"/>
      <c r="D50" s="36"/>
      <c r="E50" s="36"/>
      <c r="F50" s="36"/>
      <c r="G50" s="35"/>
      <c r="H50" s="105"/>
      <c r="I50" s="105"/>
      <c r="J50" s="105"/>
      <c r="K50" s="106"/>
      <c r="L50" s="105"/>
      <c r="M50" s="105"/>
      <c r="N50" s="105"/>
      <c r="O50" s="105"/>
      <c r="P50" s="105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107"/>
      <c r="AP50" s="107"/>
      <c r="AQ50" s="107"/>
      <c r="AR50" s="107"/>
      <c r="AS50" s="107"/>
      <c r="AT50" s="107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</row>
    <row r="51" spans="1:100" ht="15.75">
      <c r="A51" s="33"/>
      <c r="B51" s="36"/>
      <c r="C51" s="36"/>
      <c r="D51" s="36"/>
      <c r="E51" s="36"/>
      <c r="F51" s="36"/>
      <c r="G51" s="35"/>
      <c r="H51" s="105"/>
      <c r="I51" s="105"/>
      <c r="J51" s="105"/>
      <c r="K51" s="106"/>
      <c r="L51" s="105"/>
      <c r="M51" s="105"/>
      <c r="N51" s="105"/>
      <c r="O51" s="105"/>
      <c r="P51" s="105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</row>
    <row r="52" spans="1:100" ht="15.75">
      <c r="A52" s="33"/>
      <c r="B52" s="36"/>
      <c r="C52" s="36"/>
      <c r="D52" s="36"/>
      <c r="E52" s="36"/>
      <c r="F52" s="36"/>
      <c r="G52" s="35"/>
      <c r="H52" s="105"/>
      <c r="I52" s="105"/>
      <c r="J52" s="105"/>
      <c r="K52" s="106"/>
      <c r="L52" s="105"/>
      <c r="M52" s="105"/>
      <c r="N52" s="105"/>
      <c r="O52" s="105"/>
      <c r="P52" s="105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</row>
    <row r="53" spans="1:100" ht="15.75">
      <c r="A53" s="33"/>
      <c r="B53" s="36"/>
      <c r="C53" s="36"/>
      <c r="D53" s="36"/>
      <c r="E53" s="36"/>
      <c r="F53" s="36"/>
      <c r="G53" s="35"/>
      <c r="H53" s="105"/>
      <c r="I53" s="105"/>
      <c r="J53" s="105"/>
      <c r="K53" s="106"/>
      <c r="L53" s="105"/>
      <c r="M53" s="105"/>
      <c r="N53" s="105"/>
      <c r="O53" s="105"/>
      <c r="P53" s="105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</row>
    <row r="54" spans="1:100" ht="15.75">
      <c r="A54" s="33"/>
      <c r="B54" s="36"/>
      <c r="C54" s="36"/>
      <c r="D54" s="36"/>
      <c r="E54" s="36"/>
      <c r="F54" s="36"/>
      <c r="G54" s="35"/>
      <c r="H54" s="105"/>
      <c r="I54" s="105"/>
      <c r="J54" s="105"/>
      <c r="K54" s="106"/>
      <c r="L54" s="105"/>
      <c r="M54" s="105"/>
      <c r="N54" s="105"/>
      <c r="O54" s="105"/>
      <c r="P54" s="105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</row>
    <row r="55" spans="1:100" ht="15.75">
      <c r="A55" s="33"/>
      <c r="B55" s="36"/>
      <c r="C55" s="36"/>
      <c r="D55" s="36"/>
      <c r="E55" s="36"/>
      <c r="F55" s="36"/>
      <c r="G55" s="35"/>
      <c r="H55" s="105"/>
      <c r="I55" s="105"/>
      <c r="J55" s="105"/>
      <c r="K55" s="106"/>
      <c r="L55" s="105"/>
      <c r="M55" s="105"/>
      <c r="N55" s="105"/>
      <c r="O55" s="105"/>
      <c r="P55" s="105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</row>
    <row r="56" spans="1:100" ht="15.75">
      <c r="A56" s="33"/>
      <c r="B56" s="36"/>
      <c r="C56" s="36"/>
      <c r="D56" s="36"/>
      <c r="E56" s="36"/>
      <c r="F56" s="36"/>
      <c r="G56" s="35"/>
      <c r="H56" s="105"/>
      <c r="I56" s="105"/>
      <c r="J56" s="105"/>
      <c r="K56" s="106"/>
      <c r="L56" s="105"/>
      <c r="M56" s="105"/>
      <c r="N56" s="105"/>
      <c r="O56" s="105"/>
      <c r="P56" s="105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</row>
    <row r="57" spans="1:100" ht="15.75">
      <c r="A57" s="33"/>
      <c r="B57" s="36"/>
      <c r="C57" s="36"/>
      <c r="D57" s="36"/>
      <c r="E57" s="36"/>
      <c r="F57" s="36"/>
      <c r="G57" s="35"/>
      <c r="H57" s="105"/>
      <c r="I57" s="105"/>
      <c r="J57" s="105"/>
      <c r="K57" s="106"/>
      <c r="L57" s="105"/>
      <c r="M57" s="105"/>
      <c r="N57" s="105"/>
      <c r="O57" s="105"/>
      <c r="P57" s="105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</row>
    <row r="58" spans="1:100" ht="15.75">
      <c r="A58" s="33"/>
      <c r="B58" s="36"/>
      <c r="C58" s="36"/>
      <c r="D58" s="36"/>
      <c r="E58" s="36"/>
      <c r="F58" s="36"/>
      <c r="G58" s="35"/>
      <c r="H58" s="105"/>
      <c r="I58" s="105"/>
      <c r="J58" s="105"/>
      <c r="K58" s="106"/>
      <c r="L58" s="105"/>
      <c r="M58" s="105"/>
      <c r="N58" s="105"/>
      <c r="O58" s="105"/>
      <c r="P58" s="105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</row>
    <row r="59" spans="1:100" ht="15.75">
      <c r="A59" s="33"/>
      <c r="B59" s="36"/>
      <c r="C59" s="36"/>
      <c r="D59" s="36"/>
      <c r="E59" s="36"/>
      <c r="F59" s="36"/>
      <c r="G59" s="35"/>
      <c r="H59" s="105"/>
      <c r="I59" s="105"/>
      <c r="J59" s="105"/>
      <c r="K59" s="106"/>
      <c r="L59" s="105"/>
      <c r="M59" s="105"/>
      <c r="N59" s="105"/>
      <c r="O59" s="105"/>
      <c r="P59" s="105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</row>
    <row r="60" spans="1:100" ht="15.75">
      <c r="A60" s="33"/>
      <c r="B60" s="36"/>
      <c r="C60" s="36"/>
      <c r="D60" s="36"/>
      <c r="E60" s="36"/>
      <c r="F60" s="36"/>
      <c r="G60" s="35"/>
      <c r="H60" s="105"/>
      <c r="I60" s="105"/>
      <c r="J60" s="105"/>
      <c r="K60" s="106"/>
      <c r="L60" s="105"/>
      <c r="M60" s="105"/>
      <c r="N60" s="105"/>
      <c r="O60" s="105"/>
      <c r="P60" s="105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107"/>
      <c r="AP60" s="107"/>
      <c r="AQ60" s="107"/>
      <c r="AR60" s="107"/>
      <c r="AS60" s="107"/>
      <c r="AT60" s="107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</row>
    <row r="61" spans="1:100" ht="15.75">
      <c r="A61" s="33"/>
      <c r="B61" s="36"/>
      <c r="C61" s="36"/>
      <c r="D61" s="36"/>
      <c r="E61" s="36"/>
      <c r="F61" s="36"/>
      <c r="G61" s="35"/>
      <c r="H61" s="105"/>
      <c r="I61" s="105"/>
      <c r="J61" s="105"/>
      <c r="K61" s="106"/>
      <c r="L61" s="105"/>
      <c r="M61" s="105"/>
      <c r="N61" s="105"/>
      <c r="O61" s="105"/>
      <c r="P61" s="105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</row>
    <row r="62" spans="1:100" ht="15.75">
      <c r="A62" s="33"/>
      <c r="B62" s="36"/>
      <c r="C62" s="36"/>
      <c r="D62" s="36"/>
      <c r="E62" s="36"/>
      <c r="F62" s="36"/>
      <c r="G62" s="35"/>
      <c r="H62" s="105"/>
      <c r="I62" s="105"/>
      <c r="J62" s="105"/>
      <c r="K62" s="106"/>
      <c r="L62" s="105"/>
      <c r="M62" s="105"/>
      <c r="N62" s="105"/>
      <c r="O62" s="105"/>
      <c r="P62" s="105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</row>
    <row r="63" spans="1:100" ht="15.75">
      <c r="A63" s="33"/>
      <c r="B63" s="36"/>
      <c r="C63" s="36"/>
      <c r="D63" s="36"/>
      <c r="E63" s="36"/>
      <c r="F63" s="36"/>
      <c r="G63" s="35"/>
      <c r="H63" s="105"/>
      <c r="I63" s="105"/>
      <c r="J63" s="105"/>
      <c r="K63" s="106"/>
      <c r="L63" s="105"/>
      <c r="M63" s="105"/>
      <c r="N63" s="105"/>
      <c r="O63" s="105"/>
      <c r="P63" s="105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</row>
    <row r="64" spans="1:100" ht="15.75">
      <c r="A64" s="33"/>
      <c r="B64" s="36"/>
      <c r="C64" s="36"/>
      <c r="D64" s="36"/>
      <c r="E64" s="36"/>
      <c r="F64" s="36"/>
      <c r="G64" s="35"/>
      <c r="H64" s="105"/>
      <c r="I64" s="105"/>
      <c r="J64" s="105"/>
      <c r="K64" s="106"/>
      <c r="L64" s="105"/>
      <c r="M64" s="105"/>
      <c r="N64" s="105"/>
      <c r="O64" s="105"/>
      <c r="P64" s="105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</row>
    <row r="65" spans="1:100" ht="15.75">
      <c r="A65" s="33"/>
      <c r="B65" s="36"/>
      <c r="C65" s="36"/>
      <c r="D65" s="36"/>
      <c r="E65" s="36"/>
      <c r="F65" s="36"/>
      <c r="G65" s="35"/>
      <c r="H65" s="105"/>
      <c r="I65" s="105"/>
      <c r="J65" s="105"/>
      <c r="K65" s="106"/>
      <c r="L65" s="105"/>
      <c r="M65" s="105"/>
      <c r="N65" s="105"/>
      <c r="O65" s="105"/>
      <c r="P65" s="105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</row>
    <row r="66" spans="1:100" ht="15.75">
      <c r="A66" s="33"/>
      <c r="B66" s="36"/>
      <c r="C66" s="36"/>
      <c r="D66" s="36"/>
      <c r="E66" s="36"/>
      <c r="F66" s="36"/>
      <c r="G66" s="35"/>
      <c r="H66" s="105"/>
      <c r="I66" s="105"/>
      <c r="J66" s="105"/>
      <c r="K66" s="106"/>
      <c r="L66" s="105"/>
      <c r="M66" s="105"/>
      <c r="N66" s="105"/>
      <c r="O66" s="105"/>
      <c r="P66" s="105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</row>
    <row r="67" spans="1:100" ht="15.75">
      <c r="A67" s="33"/>
      <c r="B67" s="36"/>
      <c r="C67" s="36"/>
      <c r="D67" s="36"/>
      <c r="E67" s="36"/>
      <c r="F67" s="36"/>
      <c r="G67" s="35"/>
      <c r="H67" s="105"/>
      <c r="I67" s="105"/>
      <c r="J67" s="105"/>
      <c r="K67" s="106"/>
      <c r="L67" s="105"/>
      <c r="M67" s="105"/>
      <c r="N67" s="105"/>
      <c r="O67" s="105"/>
      <c r="P67" s="105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</row>
    <row r="68" spans="1:100" ht="15.75">
      <c r="A68" s="33"/>
      <c r="B68" s="36"/>
      <c r="C68" s="36"/>
      <c r="D68" s="36"/>
      <c r="E68" s="36"/>
      <c r="F68" s="36"/>
      <c r="G68" s="35"/>
      <c r="H68" s="105"/>
      <c r="I68" s="105"/>
      <c r="J68" s="105"/>
      <c r="K68" s="106"/>
      <c r="L68" s="105"/>
      <c r="M68" s="105"/>
      <c r="N68" s="105"/>
      <c r="O68" s="105"/>
      <c r="P68" s="105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</row>
    <row r="69" spans="1:100" ht="15.75">
      <c r="A69" s="33"/>
      <c r="B69" s="36"/>
      <c r="C69" s="36"/>
      <c r="D69" s="36"/>
      <c r="E69" s="36"/>
      <c r="F69" s="36"/>
      <c r="G69" s="35"/>
      <c r="H69" s="105"/>
      <c r="I69" s="105"/>
      <c r="J69" s="105"/>
      <c r="K69" s="106"/>
      <c r="L69" s="105"/>
      <c r="M69" s="105"/>
      <c r="N69" s="105"/>
      <c r="O69" s="105"/>
      <c r="P69" s="105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</row>
    <row r="70" spans="1:100" ht="15.75">
      <c r="A70" s="33"/>
      <c r="B70" s="36"/>
      <c r="C70" s="36"/>
      <c r="D70" s="36"/>
      <c r="E70" s="36"/>
      <c r="F70" s="36"/>
      <c r="G70" s="35"/>
      <c r="H70" s="105"/>
      <c r="I70" s="105"/>
      <c r="J70" s="105"/>
      <c r="K70" s="106"/>
      <c r="L70" s="105"/>
      <c r="M70" s="105"/>
      <c r="N70" s="105"/>
      <c r="O70" s="105"/>
      <c r="P70" s="105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</row>
    <row r="71" spans="1:100" ht="15.75">
      <c r="A71" s="33"/>
      <c r="B71" s="36"/>
      <c r="C71" s="36"/>
      <c r="D71" s="36"/>
      <c r="E71" s="36"/>
      <c r="F71" s="36"/>
      <c r="G71" s="35"/>
      <c r="H71" s="105"/>
      <c r="I71" s="105"/>
      <c r="J71" s="105"/>
      <c r="K71" s="106"/>
      <c r="L71" s="105"/>
      <c r="M71" s="105"/>
      <c r="N71" s="105"/>
      <c r="O71" s="105"/>
      <c r="P71" s="105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</row>
    <row r="72" spans="1:100" ht="15.75">
      <c r="A72" s="33"/>
      <c r="B72" s="36"/>
      <c r="C72" s="36"/>
      <c r="D72" s="36"/>
      <c r="E72" s="36"/>
      <c r="F72" s="36"/>
      <c r="G72" s="35"/>
      <c r="H72" s="105"/>
      <c r="I72" s="105"/>
      <c r="J72" s="105"/>
      <c r="K72" s="106"/>
      <c r="L72" s="105"/>
      <c r="M72" s="105"/>
      <c r="N72" s="105"/>
      <c r="O72" s="105"/>
      <c r="P72" s="105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</row>
    <row r="73" spans="1:100" ht="15.75">
      <c r="A73" s="33"/>
      <c r="B73" s="36"/>
      <c r="C73" s="36"/>
      <c r="D73" s="36"/>
      <c r="E73" s="36"/>
      <c r="F73" s="36"/>
      <c r="G73" s="35"/>
      <c r="H73" s="105"/>
      <c r="I73" s="105"/>
      <c r="J73" s="105"/>
      <c r="K73" s="106"/>
      <c r="L73" s="105"/>
      <c r="M73" s="105"/>
      <c r="N73" s="105"/>
      <c r="O73" s="105"/>
      <c r="P73" s="105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107"/>
      <c r="AP73" s="107"/>
      <c r="AQ73" s="107"/>
      <c r="AR73" s="107"/>
      <c r="AS73" s="107"/>
      <c r="AT73" s="107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</row>
    <row r="74" spans="1:100" ht="15.75">
      <c r="A74" s="33"/>
      <c r="B74" s="36"/>
      <c r="C74" s="36"/>
      <c r="D74" s="36"/>
      <c r="E74" s="36"/>
      <c r="F74" s="36"/>
      <c r="G74" s="35"/>
      <c r="H74" s="105"/>
      <c r="I74" s="105"/>
      <c r="J74" s="105"/>
      <c r="K74" s="106"/>
      <c r="L74" s="105"/>
      <c r="M74" s="105"/>
      <c r="N74" s="105"/>
      <c r="O74" s="105"/>
      <c r="P74" s="105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/>
      <c r="AT74" s="107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</row>
    <row r="75" spans="1:100" ht="15.75">
      <c r="A75" s="33"/>
      <c r="B75" s="36"/>
      <c r="C75" s="36"/>
      <c r="D75" s="36"/>
      <c r="E75" s="36"/>
      <c r="F75" s="36"/>
      <c r="G75" s="35"/>
      <c r="H75" s="105"/>
      <c r="I75" s="105"/>
      <c r="J75" s="105"/>
      <c r="K75" s="106"/>
      <c r="L75" s="105"/>
      <c r="M75" s="105"/>
      <c r="N75" s="105"/>
      <c r="O75" s="105"/>
      <c r="P75" s="105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/>
      <c r="AS75" s="107"/>
      <c r="AT75" s="107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</row>
    <row r="76" spans="1:100" ht="15.75">
      <c r="A76" s="33"/>
      <c r="B76" s="36"/>
      <c r="C76" s="36"/>
      <c r="D76" s="36"/>
      <c r="E76" s="36"/>
      <c r="F76" s="36"/>
      <c r="G76" s="35"/>
      <c r="H76" s="105"/>
      <c r="I76" s="105"/>
      <c r="J76" s="105"/>
      <c r="K76" s="106"/>
      <c r="L76" s="105"/>
      <c r="M76" s="105"/>
      <c r="N76" s="105"/>
      <c r="O76" s="105"/>
      <c r="P76" s="105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</row>
    <row r="77" spans="1:100" ht="15.75">
      <c r="A77" s="33"/>
      <c r="B77" s="36"/>
      <c r="C77" s="36"/>
      <c r="D77" s="36"/>
      <c r="E77" s="36"/>
      <c r="F77" s="36"/>
      <c r="G77" s="35"/>
      <c r="H77" s="105"/>
      <c r="I77" s="105"/>
      <c r="J77" s="105"/>
      <c r="K77" s="106"/>
      <c r="L77" s="105"/>
      <c r="M77" s="105"/>
      <c r="N77" s="105"/>
      <c r="O77" s="105"/>
      <c r="P77" s="105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</row>
    <row r="78" spans="1:100" ht="15.75">
      <c r="A78" s="33"/>
      <c r="B78" s="36"/>
      <c r="C78" s="36"/>
      <c r="D78" s="36"/>
      <c r="E78" s="36"/>
      <c r="F78" s="36"/>
      <c r="G78" s="35"/>
      <c r="H78" s="105"/>
      <c r="I78" s="105"/>
      <c r="J78" s="105"/>
      <c r="K78" s="106"/>
      <c r="L78" s="105"/>
      <c r="M78" s="105"/>
      <c r="N78" s="105"/>
      <c r="O78" s="105"/>
      <c r="P78" s="105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</row>
    <row r="79" spans="1:100" ht="15.75">
      <c r="A79" s="33"/>
      <c r="B79" s="36"/>
      <c r="C79" s="36"/>
      <c r="D79" s="36"/>
      <c r="E79" s="36"/>
      <c r="F79" s="36"/>
      <c r="G79" s="35"/>
      <c r="H79" s="105"/>
      <c r="I79" s="105"/>
      <c r="J79" s="105"/>
      <c r="K79" s="106"/>
      <c r="L79" s="105"/>
      <c r="M79" s="105"/>
      <c r="N79" s="105"/>
      <c r="O79" s="105"/>
      <c r="P79" s="105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107"/>
      <c r="AP79" s="107"/>
      <c r="AQ79" s="107"/>
      <c r="AR79" s="107"/>
      <c r="AS79" s="107"/>
      <c r="AT79" s="107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</row>
    <row r="80" spans="1:100" ht="15.75">
      <c r="A80" s="33"/>
      <c r="B80" s="36"/>
      <c r="C80" s="36"/>
      <c r="D80" s="36"/>
      <c r="E80" s="36"/>
      <c r="F80" s="36"/>
      <c r="G80" s="35"/>
      <c r="H80" s="105"/>
      <c r="I80" s="105"/>
      <c r="J80" s="105"/>
      <c r="K80" s="106"/>
      <c r="L80" s="105"/>
      <c r="M80" s="105"/>
      <c r="N80" s="105"/>
      <c r="O80" s="105"/>
      <c r="P80" s="105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</row>
    <row r="81" spans="1:100" ht="15.75">
      <c r="A81" s="33"/>
      <c r="B81" s="36"/>
      <c r="C81" s="36"/>
      <c r="D81" s="36"/>
      <c r="E81" s="36"/>
      <c r="F81" s="36"/>
      <c r="G81" s="35"/>
      <c r="H81" s="105"/>
      <c r="I81" s="105"/>
      <c r="J81" s="105"/>
      <c r="K81" s="106"/>
      <c r="L81" s="105"/>
      <c r="M81" s="105"/>
      <c r="N81" s="105"/>
      <c r="O81" s="105"/>
      <c r="P81" s="105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</row>
    <row r="82" spans="1:100" ht="15.75">
      <c r="A82" s="33"/>
      <c r="B82" s="36"/>
      <c r="C82" s="36"/>
      <c r="D82" s="36"/>
      <c r="E82" s="36"/>
      <c r="F82" s="36"/>
      <c r="G82" s="35"/>
      <c r="H82" s="105"/>
      <c r="I82" s="105"/>
      <c r="J82" s="105"/>
      <c r="K82" s="106"/>
      <c r="L82" s="105"/>
      <c r="M82" s="105"/>
      <c r="N82" s="105"/>
      <c r="O82" s="105"/>
      <c r="P82" s="105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</row>
    <row r="83" spans="1:100" ht="15.75">
      <c r="A83" s="33"/>
      <c r="B83" s="36"/>
      <c r="C83" s="36"/>
      <c r="D83" s="36"/>
      <c r="E83" s="36"/>
      <c r="F83" s="36"/>
      <c r="G83" s="35"/>
      <c r="H83" s="105"/>
      <c r="I83" s="105"/>
      <c r="J83" s="105"/>
      <c r="K83" s="106"/>
      <c r="L83" s="105"/>
      <c r="M83" s="105"/>
      <c r="N83" s="105"/>
      <c r="O83" s="105"/>
      <c r="P83" s="105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</row>
    <row r="84" spans="1:100" ht="15.75">
      <c r="A84" s="33"/>
      <c r="B84" s="36"/>
      <c r="C84" s="36"/>
      <c r="D84" s="36"/>
      <c r="E84" s="36"/>
      <c r="F84" s="36"/>
      <c r="G84" s="35"/>
      <c r="H84" s="105"/>
      <c r="I84" s="105"/>
      <c r="J84" s="105"/>
      <c r="K84" s="106"/>
      <c r="L84" s="105"/>
      <c r="M84" s="105"/>
      <c r="N84" s="105"/>
      <c r="O84" s="105"/>
      <c r="P84" s="105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</row>
    <row r="85" spans="1:100" ht="15.75">
      <c r="A85" s="33"/>
      <c r="B85" s="36"/>
      <c r="C85" s="36"/>
      <c r="D85" s="36"/>
      <c r="E85" s="36"/>
      <c r="F85" s="36"/>
      <c r="G85" s="35"/>
      <c r="H85" s="105"/>
      <c r="I85" s="105"/>
      <c r="J85" s="105"/>
      <c r="K85" s="106"/>
      <c r="L85" s="105"/>
      <c r="M85" s="105"/>
      <c r="N85" s="105"/>
      <c r="O85" s="105"/>
      <c r="P85" s="105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</row>
    <row r="86" spans="1:100" ht="15.75">
      <c r="A86" s="33"/>
      <c r="B86" s="36"/>
      <c r="C86" s="36"/>
      <c r="D86" s="36"/>
      <c r="E86" s="36"/>
      <c r="F86" s="36"/>
      <c r="G86" s="35"/>
      <c r="H86" s="105"/>
      <c r="I86" s="105"/>
      <c r="J86" s="105"/>
      <c r="K86" s="106"/>
      <c r="L86" s="105"/>
      <c r="M86" s="105"/>
      <c r="N86" s="105"/>
      <c r="O86" s="105"/>
      <c r="P86" s="105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</row>
    <row r="87" spans="1:100" ht="15.75">
      <c r="A87" s="33"/>
      <c r="B87" s="36"/>
      <c r="C87" s="36"/>
      <c r="D87" s="36"/>
      <c r="E87" s="36"/>
      <c r="F87" s="36"/>
      <c r="G87" s="35"/>
      <c r="H87" s="105"/>
      <c r="I87" s="105"/>
      <c r="J87" s="105"/>
      <c r="K87" s="106"/>
      <c r="L87" s="105"/>
      <c r="M87" s="105"/>
      <c r="N87" s="105"/>
      <c r="O87" s="105"/>
      <c r="P87" s="105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</row>
    <row r="88" spans="1:100" ht="15.75">
      <c r="A88" s="33"/>
      <c r="B88" s="36"/>
      <c r="C88" s="36"/>
      <c r="D88" s="36"/>
      <c r="E88" s="36"/>
      <c r="F88" s="36"/>
      <c r="G88" s="35"/>
      <c r="H88" s="105"/>
      <c r="I88" s="105"/>
      <c r="J88" s="105"/>
      <c r="K88" s="106"/>
      <c r="L88" s="105"/>
      <c r="M88" s="105"/>
      <c r="N88" s="105"/>
      <c r="O88" s="105"/>
      <c r="P88" s="105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</row>
    <row r="89" spans="1:100" ht="15.75">
      <c r="A89" s="33"/>
      <c r="B89" s="36"/>
      <c r="C89" s="36"/>
      <c r="D89" s="36"/>
      <c r="E89" s="36"/>
      <c r="F89" s="36"/>
      <c r="G89" s="35"/>
      <c r="H89" s="105"/>
      <c r="I89" s="105"/>
      <c r="J89" s="105"/>
      <c r="K89" s="106"/>
      <c r="L89" s="105"/>
      <c r="M89" s="105"/>
      <c r="N89" s="105"/>
      <c r="O89" s="105"/>
      <c r="P89" s="105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7"/>
      <c r="AS89" s="107"/>
      <c r="AT89" s="107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</row>
    <row r="90" spans="1:100" ht="15.75">
      <c r="A90" s="33"/>
      <c r="B90" s="36"/>
      <c r="C90" s="36"/>
      <c r="D90" s="36"/>
      <c r="E90" s="36"/>
      <c r="F90" s="36"/>
      <c r="G90" s="35"/>
      <c r="H90" s="105"/>
      <c r="I90" s="105"/>
      <c r="J90" s="105"/>
      <c r="K90" s="106"/>
      <c r="L90" s="105"/>
      <c r="M90" s="105"/>
      <c r="N90" s="105"/>
      <c r="O90" s="105"/>
      <c r="P90" s="105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</row>
    <row r="91" spans="1:100" ht="15.75">
      <c r="A91" s="33"/>
      <c r="B91" s="36"/>
      <c r="C91" s="36"/>
      <c r="D91" s="36"/>
      <c r="E91" s="36"/>
      <c r="F91" s="36"/>
      <c r="G91" s="35"/>
      <c r="H91" s="105"/>
      <c r="I91" s="105"/>
      <c r="J91" s="105"/>
      <c r="K91" s="106"/>
      <c r="L91" s="105"/>
      <c r="M91" s="105"/>
      <c r="N91" s="105"/>
      <c r="O91" s="105"/>
      <c r="P91" s="105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</row>
    <row r="92" spans="1:100" ht="15.75">
      <c r="A92" s="33"/>
      <c r="B92" s="36"/>
      <c r="C92" s="36"/>
      <c r="D92" s="36"/>
      <c r="E92" s="36"/>
      <c r="F92" s="36"/>
      <c r="G92" s="35"/>
      <c r="H92" s="105"/>
      <c r="I92" s="105"/>
      <c r="J92" s="105"/>
      <c r="K92" s="106"/>
      <c r="L92" s="105"/>
      <c r="M92" s="105"/>
      <c r="N92" s="105"/>
      <c r="O92" s="105"/>
      <c r="P92" s="105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7"/>
      <c r="AS92" s="107"/>
      <c r="AT92" s="107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</row>
    <row r="93" spans="1:100" ht="15.75">
      <c r="A93" s="33"/>
      <c r="B93" s="36"/>
      <c r="C93" s="36"/>
      <c r="D93" s="36"/>
      <c r="E93" s="36"/>
      <c r="F93" s="36"/>
      <c r="G93" s="35"/>
      <c r="H93" s="105"/>
      <c r="I93" s="105"/>
      <c r="J93" s="105"/>
      <c r="K93" s="106"/>
      <c r="L93" s="105"/>
      <c r="M93" s="105"/>
      <c r="N93" s="105"/>
      <c r="O93" s="105"/>
      <c r="P93" s="105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</row>
    <row r="94" spans="1:100" ht="15.75">
      <c r="A94" s="33"/>
      <c r="B94" s="36"/>
      <c r="C94" s="36"/>
      <c r="D94" s="36"/>
      <c r="E94" s="36"/>
      <c r="F94" s="36"/>
      <c r="G94" s="35"/>
      <c r="H94" s="105"/>
      <c r="I94" s="105"/>
      <c r="J94" s="105"/>
      <c r="K94" s="106"/>
      <c r="L94" s="105"/>
      <c r="M94" s="105"/>
      <c r="N94" s="105"/>
      <c r="O94" s="105"/>
      <c r="P94" s="105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</row>
    <row r="95" spans="1:100" ht="15.75">
      <c r="A95" s="33"/>
      <c r="B95" s="36"/>
      <c r="C95" s="36"/>
      <c r="D95" s="36"/>
      <c r="E95" s="36"/>
      <c r="F95" s="36"/>
      <c r="G95" s="35"/>
      <c r="H95" s="105"/>
      <c r="I95" s="105"/>
      <c r="J95" s="105"/>
      <c r="K95" s="106"/>
      <c r="L95" s="105"/>
      <c r="M95" s="105"/>
      <c r="N95" s="105"/>
      <c r="O95" s="105"/>
      <c r="P95" s="105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</row>
    <row r="96" spans="1:100" ht="15.75">
      <c r="A96" s="33"/>
      <c r="B96" s="36"/>
      <c r="C96" s="36"/>
      <c r="D96" s="36"/>
      <c r="E96" s="36"/>
      <c r="F96" s="36"/>
      <c r="G96" s="35"/>
      <c r="H96" s="105"/>
      <c r="I96" s="105"/>
      <c r="J96" s="105"/>
      <c r="K96" s="106"/>
      <c r="L96" s="105"/>
      <c r="M96" s="105"/>
      <c r="N96" s="105"/>
      <c r="O96" s="105"/>
      <c r="P96" s="105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</row>
    <row r="97" spans="1:100" ht="15.75">
      <c r="A97" s="33"/>
      <c r="B97" s="36"/>
      <c r="C97" s="36"/>
      <c r="D97" s="36"/>
      <c r="E97" s="36"/>
      <c r="F97" s="36"/>
      <c r="G97" s="35"/>
      <c r="H97" s="105"/>
      <c r="I97" s="105"/>
      <c r="J97" s="105"/>
      <c r="K97" s="106"/>
      <c r="L97" s="105"/>
      <c r="M97" s="105"/>
      <c r="N97" s="105"/>
      <c r="O97" s="105"/>
      <c r="P97" s="105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7"/>
      <c r="AS97" s="107"/>
      <c r="AT97" s="107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</row>
    <row r="98" spans="1:100" ht="15.75">
      <c r="A98" s="33"/>
      <c r="B98" s="36"/>
      <c r="C98" s="36"/>
      <c r="D98" s="36"/>
      <c r="E98" s="36"/>
      <c r="F98" s="36"/>
      <c r="G98" s="35"/>
      <c r="H98" s="105"/>
      <c r="I98" s="105"/>
      <c r="J98" s="105"/>
      <c r="K98" s="105"/>
      <c r="L98" s="105"/>
      <c r="M98" s="105"/>
      <c r="N98" s="105"/>
      <c r="O98" s="105"/>
      <c r="P98" s="105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</row>
    <row r="99" spans="1:100"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107"/>
      <c r="AP99" s="107"/>
      <c r="AQ99" s="107"/>
      <c r="AR99" s="107"/>
      <c r="AS99" s="107"/>
      <c r="AT99" s="107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</row>
    <row r="100" spans="1:100"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</row>
    <row r="101" spans="1:100"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</row>
    <row r="102" spans="1:100"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</row>
    <row r="103" spans="1:100"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</row>
    <row r="104" spans="1:100"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</row>
    <row r="105" spans="1:100"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7"/>
      <c r="AS105" s="107"/>
      <c r="AT105" s="107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</row>
    <row r="106" spans="1:100"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</row>
    <row r="107" spans="1:100"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</row>
    <row r="108" spans="1:100"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</row>
    <row r="109" spans="1:100"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</row>
    <row r="110" spans="1:100"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</row>
  </sheetData>
  <mergeCells count="17">
    <mergeCell ref="AA10:AS10"/>
    <mergeCell ref="AT10:AT11"/>
    <mergeCell ref="K1:P1"/>
    <mergeCell ref="Q1:V1"/>
    <mergeCell ref="A10:A11"/>
    <mergeCell ref="B10:B11"/>
    <mergeCell ref="C10:C11"/>
    <mergeCell ref="D10:D11"/>
    <mergeCell ref="E10:E11"/>
    <mergeCell ref="F10:F11"/>
    <mergeCell ref="G10:G11"/>
    <mergeCell ref="G1:J1"/>
    <mergeCell ref="G3:G8"/>
    <mergeCell ref="H3:H8"/>
    <mergeCell ref="I3:I8"/>
    <mergeCell ref="J3:J8"/>
    <mergeCell ref="H10:Z10"/>
  </mergeCells>
  <phoneticPr fontId="12"/>
  <conditionalFormatting sqref="S99:S1004">
    <cfRule type="expression" dxfId="11" priority="1" stopIfTrue="1">
      <formula>INDIRECT("S"&amp;ROW())="Pass"</formula>
    </cfRule>
    <cfRule type="expression" dxfId="10" priority="9" stopIfTrue="1">
      <formula>INDIRECT("S"&amp;ROW())="Fail"</formula>
    </cfRule>
  </conditionalFormatting>
  <conditionalFormatting sqref="P13:P1004">
    <cfRule type="expression" dxfId="9" priority="2" stopIfTrue="1">
      <formula>INDIRECT("P"&amp;ROW())="Pass"</formula>
    </cfRule>
    <cfRule type="expression" dxfId="8" priority="8" stopIfTrue="1">
      <formula>INDIRECT("P"&amp;ROW())="Fail"</formula>
    </cfRule>
  </conditionalFormatting>
  <conditionalFormatting sqref="L20:L999">
    <cfRule type="expression" dxfId="7" priority="7" stopIfTrue="1">
      <formula>INDIRECT("L"&amp;ROW())="Fail"</formula>
    </cfRule>
  </conditionalFormatting>
  <conditionalFormatting sqref="G12:G999">
    <cfRule type="cellIs" dxfId="6" priority="10" stopIfTrue="1" operator="equal">
      <formula>"Low"</formula>
    </cfRule>
    <cfRule type="cellIs" dxfId="5" priority="11" stopIfTrue="1" operator="equal">
      <formula>"Normal"</formula>
    </cfRule>
    <cfRule type="cellIs" dxfId="4" priority="12" stopIfTrue="1" operator="equal">
      <formula>"High"</formula>
    </cfRule>
  </conditionalFormatting>
  <conditionalFormatting sqref="I12:I1004">
    <cfRule type="expression" dxfId="3" priority="5" stopIfTrue="1">
      <formula>INDIRECT("I"&amp;ROW())="Pass"</formula>
    </cfRule>
    <cfRule type="expression" dxfId="2" priority="6" stopIfTrue="1">
      <formula>INDIRECT("I"&amp;ROW())="Fail"</formula>
    </cfRule>
  </conditionalFormatting>
  <conditionalFormatting sqref="L12:L1004">
    <cfRule type="expression" dxfId="1" priority="3" stopIfTrue="1">
      <formula>INDIRECT("L"&amp;ROW())="Fail"</formula>
    </cfRule>
    <cfRule type="expression" dxfId="0" priority="4" stopIfTrue="1">
      <formula>INDIRECT("L"&amp;ROW())="Pass"</formula>
    </cfRule>
  </conditionalFormatting>
  <dataValidations count="3">
    <dataValidation type="list" allowBlank="1" showInputMessage="1" showErrorMessage="1" sqref="M23:N98 J37:J98 K98" xr:uid="{63BF5A5E-1CBE-48A3-99F8-277D0089275B}">
      <formula1>$F$2:$I$2</formula1>
    </dataValidation>
    <dataValidation type="list" allowBlank="1" showInputMessage="1" showErrorMessage="1" sqref="L12:L98 P13:P98 I12:I98" xr:uid="{9080B43F-3C5A-4367-BF09-34E2177FF6C7}">
      <formula1>$K$2:$N$2</formula1>
    </dataValidation>
    <dataValidation type="list" allowBlank="1" showInputMessage="1" showErrorMessage="1" sqref="G12:G98" xr:uid="{B4F5E502-DA0C-412B-A991-AB2C26273071}">
      <formula1>"High, Normal, Low"</formula1>
    </dataValidation>
  </dataValidations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C9EA54DE8F94487C2A1AB12315691" ma:contentTypeVersion="11" ma:contentTypeDescription="Create a new document." ma:contentTypeScope="" ma:versionID="9ad96d5f56a106dedcadfe98723ee0c3">
  <xsd:schema xmlns:xsd="http://www.w3.org/2001/XMLSchema" xmlns:xs="http://www.w3.org/2001/XMLSchema" xmlns:p="http://schemas.microsoft.com/office/2006/metadata/properties" xmlns:ns2="38c55fcc-c670-4ac4-8a9b-264c271983b2" xmlns:ns3="ea1ab6f7-2cdf-4ac6-8d0c-935587abd710" targetNamespace="http://schemas.microsoft.com/office/2006/metadata/properties" ma:root="true" ma:fieldsID="60d116a7796d181fd721f8edd8de3e6f" ns2:_="" ns3:_="">
    <xsd:import namespace="38c55fcc-c670-4ac4-8a9b-264c271983b2"/>
    <xsd:import namespace="ea1ab6f7-2cdf-4ac6-8d0c-935587abd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c55fcc-c670-4ac4-8a9b-264c27198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4a57264-ac35-4eb0-866e-4f624dc13f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b6f7-2cdf-4ac6-8d0c-935587abd71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8c55fcc-c670-4ac4-8a9b-264c271983b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54AE728-40F3-404B-A90C-CAC20CF1D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c55fcc-c670-4ac4-8a9b-264c271983b2"/>
    <ds:schemaRef ds:uri="ea1ab6f7-2cdf-4ac6-8d0c-935587abd7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54E86E-76EC-4B22-92A0-E3A743C152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AFF7A5-F3C1-400A-A7C8-AA75592902F2}">
  <ds:schemaRefs>
    <ds:schemaRef ds:uri="http://schemas.microsoft.com/office/2006/documentManagement/types"/>
    <ds:schemaRef ds:uri="38c55fcc-c670-4ac4-8a9b-264c271983b2"/>
    <ds:schemaRef ds:uri="http://purl.org/dc/terms/"/>
    <ds:schemaRef ds:uri="http://purl.org/dc/elements/1.1/"/>
    <ds:schemaRef ds:uri="http://www.w3.org/XML/1998/namespace"/>
    <ds:schemaRef ds:uri="ea1ab6f7-2cdf-4ac6-8d0c-935587abd710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Report</vt:lpstr>
      <vt:lpstr>Module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Nguyễn Dương Thái (KHN.SBU1.QA1)</cp:lastModifiedBy>
  <cp:revision/>
  <dcterms:created xsi:type="dcterms:W3CDTF">2017-12-28T03:20:00Z</dcterms:created>
  <dcterms:modified xsi:type="dcterms:W3CDTF">2025-10-03T08:16:19Z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0x010100053C9EA54DE8F94487C2A1AB12315691</vt:lpwstr>
  </property>
  <property fmtid="{D5CDD505-2E9C-101B-9397-08002B2CF9AE}" pid="3" name="MediaServiceImageTags">
    <vt:lpwstr/>
  </property>
</Properties>
</file>