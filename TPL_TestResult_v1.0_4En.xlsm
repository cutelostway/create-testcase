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create-testcase\"/>
    </mc:Choice>
  </mc:AlternateContent>
  <xr:revisionPtr revIDLastSave="0" documentId="8_{25C2FED0-CA87-4980-B278-4FAB7BE15C91}" xr6:coauthVersionLast="36" xr6:coauthVersionMax="36" xr10:uidLastSave="{00000000-0000-0000-0000-000000000000}"/>
  <bookViews>
    <workbookView xWindow="28680" yWindow="-120" windowWidth="29040" windowHeight="15840" tabRatio="732" activeTab="1" xr2:uid="{00000000-000D-0000-FFFF-FFFF00000000}"/>
  </bookViews>
  <sheets>
    <sheet name="Cover" sheetId="1" r:id="rId1"/>
    <sheet name="Report" sheetId="20" r:id="rId2"/>
    <sheet name="Module 1" sheetId="66" r:id="rId3"/>
  </sheets>
  <functionGroups builtInGroupCount="19"/>
  <calcPr calcId="191029"/>
</workbook>
</file>

<file path=xl/calcChain.xml><?xml version="1.0" encoding="utf-8"?>
<calcChain xmlns="http://schemas.openxmlformats.org/spreadsheetml/2006/main">
  <c r="U42" i="20" l="1"/>
  <c r="T42" i="20"/>
  <c r="S42" i="20"/>
  <c r="R42" i="20"/>
  <c r="Q42" i="20"/>
  <c r="P42" i="20"/>
  <c r="O42" i="20"/>
  <c r="N42" i="20"/>
  <c r="M42" i="20"/>
  <c r="L42" i="20"/>
  <c r="K42" i="20"/>
  <c r="J42" i="20"/>
  <c r="I42" i="20"/>
  <c r="H42" i="20"/>
  <c r="G42" i="20"/>
  <c r="F42" i="20"/>
  <c r="E42" i="20"/>
  <c r="D42" i="20"/>
  <c r="U34" i="20"/>
  <c r="T34" i="20"/>
  <c r="S34" i="20"/>
  <c r="R34" i="20"/>
  <c r="Q34" i="20"/>
  <c r="P34" i="20"/>
  <c r="O34" i="20"/>
  <c r="N34" i="20"/>
  <c r="M34" i="20"/>
  <c r="L34" i="20"/>
  <c r="K34" i="20"/>
  <c r="J34" i="20"/>
  <c r="I34" i="20"/>
  <c r="H34" i="20"/>
  <c r="G34" i="20"/>
  <c r="F34" i="20"/>
  <c r="E34" i="20"/>
  <c r="D34" i="20"/>
  <c r="U41" i="20"/>
  <c r="T41" i="20"/>
  <c r="S41" i="20"/>
  <c r="R41" i="20"/>
  <c r="Q41" i="20"/>
  <c r="P41" i="20"/>
  <c r="O41" i="20"/>
  <c r="N41" i="20"/>
  <c r="M41" i="20"/>
  <c r="L41" i="20"/>
  <c r="K41" i="20"/>
  <c r="J41" i="20"/>
  <c r="I41" i="20"/>
  <c r="H41" i="20"/>
  <c r="G41" i="20"/>
  <c r="F41" i="20"/>
  <c r="E41" i="20"/>
  <c r="D41" i="20"/>
  <c r="U33" i="20"/>
  <c r="T33" i="20"/>
  <c r="S33" i="20"/>
  <c r="R33" i="20"/>
  <c r="Q33" i="20"/>
  <c r="P33" i="20"/>
  <c r="O33" i="20"/>
  <c r="N33" i="20"/>
  <c r="M33" i="20"/>
  <c r="L33" i="20"/>
  <c r="K33" i="20"/>
  <c r="J33" i="20"/>
  <c r="I33" i="20"/>
  <c r="H33" i="20"/>
  <c r="G33" i="20"/>
  <c r="F33" i="20"/>
  <c r="E33" i="20"/>
  <c r="D33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U31" i="20"/>
  <c r="T31" i="20"/>
  <c r="S31" i="20"/>
  <c r="R31" i="20"/>
  <c r="Q31" i="20"/>
  <c r="P31" i="20"/>
  <c r="O31" i="20"/>
  <c r="N31" i="20"/>
  <c r="M31" i="20"/>
  <c r="L31" i="20"/>
  <c r="K31" i="20"/>
  <c r="J31" i="20"/>
  <c r="I31" i="20"/>
  <c r="H31" i="20"/>
  <c r="G31" i="20"/>
  <c r="F31" i="20"/>
  <c r="E31" i="20"/>
  <c r="D31" i="20"/>
  <c r="B39" i="20"/>
  <c r="B31" i="20"/>
  <c r="C42" i="20"/>
  <c r="C34" i="20"/>
  <c r="C25" i="20"/>
  <c r="C16" i="20"/>
  <c r="C41" i="20"/>
  <c r="C33" i="20"/>
  <c r="C24" i="20"/>
  <c r="C15" i="20"/>
  <c r="C40" i="20"/>
  <c r="C32" i="20"/>
  <c r="C23" i="20"/>
  <c r="C14" i="20"/>
  <c r="C39" i="20"/>
  <c r="C31" i="20"/>
  <c r="C22" i="20"/>
  <c r="C13" i="20"/>
  <c r="V6" i="66"/>
  <c r="U6" i="66"/>
  <c r="S6" i="66"/>
  <c r="T6" i="66"/>
  <c r="R6" i="66"/>
  <c r="Q6" i="66"/>
  <c r="AE9" i="66"/>
  <c r="P6" i="66"/>
  <c r="O6" i="66"/>
  <c r="M6" i="66"/>
  <c r="N6" i="66"/>
  <c r="L6" i="66"/>
  <c r="K6" i="66"/>
  <c r="R9" i="66"/>
  <c r="V5" i="66"/>
  <c r="U5" i="66"/>
  <c r="S5" i="66"/>
  <c r="T5" i="66"/>
  <c r="R5" i="66"/>
  <c r="Q5" i="66"/>
  <c r="AB9" i="66"/>
  <c r="P5" i="66"/>
  <c r="O5" i="66"/>
  <c r="M5" i="66"/>
  <c r="N5" i="66"/>
  <c r="L5" i="66"/>
  <c r="K5" i="66"/>
  <c r="O9" i="66"/>
  <c r="V4" i="66"/>
  <c r="U4" i="66"/>
  <c r="S4" i="66"/>
  <c r="T4" i="66"/>
  <c r="R4" i="66"/>
  <c r="Q4" i="66"/>
  <c r="Y9" i="66"/>
  <c r="P4" i="66"/>
  <c r="O4" i="66"/>
  <c r="M4" i="66"/>
  <c r="N4" i="66"/>
  <c r="L4" i="66"/>
  <c r="K4" i="66"/>
  <c r="L9" i="66"/>
  <c r="V3" i="66"/>
  <c r="U3" i="66"/>
  <c r="S3" i="66"/>
  <c r="T3" i="66"/>
  <c r="R3" i="66"/>
  <c r="Q3" i="66"/>
  <c r="V9" i="66"/>
  <c r="P3" i="66"/>
  <c r="O3" i="66"/>
  <c r="M3" i="66"/>
  <c r="N3" i="66"/>
  <c r="L3" i="66"/>
  <c r="K3" i="66"/>
  <c r="I9" i="66"/>
  <c r="F6" i="66"/>
  <c r="F5" i="66"/>
  <c r="F4" i="66"/>
  <c r="F3" i="66"/>
  <c r="H25" i="20" l="1"/>
  <c r="R25" i="20"/>
  <c r="M25" i="20"/>
  <c r="R23" i="20"/>
  <c r="M22" i="20"/>
  <c r="H22" i="20"/>
  <c r="M23" i="20"/>
  <c r="M16" i="20"/>
  <c r="Q25" i="20"/>
  <c r="P25" i="20"/>
  <c r="O25" i="20"/>
  <c r="N25" i="20"/>
  <c r="L25" i="20"/>
  <c r="K25" i="20"/>
  <c r="J25" i="20"/>
  <c r="I25" i="20"/>
  <c r="G25" i="20"/>
  <c r="F25" i="20"/>
  <c r="E25" i="20"/>
  <c r="D25" i="20"/>
  <c r="E16" i="20"/>
  <c r="O24" i="20"/>
  <c r="K24" i="20"/>
  <c r="J24" i="20"/>
  <c r="E24" i="20"/>
  <c r="P23" i="20"/>
  <c r="N23" i="20"/>
  <c r="L23" i="20"/>
  <c r="G23" i="20"/>
  <c r="F23" i="20"/>
  <c r="D23" i="20"/>
  <c r="Q22" i="20"/>
  <c r="O22" i="20"/>
  <c r="N22" i="20"/>
  <c r="J22" i="20"/>
  <c r="I22" i="20"/>
  <c r="F22" i="20"/>
  <c r="E22" i="20"/>
  <c r="D22" i="20"/>
  <c r="I24" i="20"/>
  <c r="N16" i="20"/>
  <c r="I16" i="20"/>
  <c r="O16" i="20"/>
  <c r="H16" i="20"/>
  <c r="D16" i="20"/>
  <c r="J16" i="20"/>
  <c r="P16" i="20"/>
  <c r="Q16" i="20"/>
  <c r="F16" i="20"/>
  <c r="L16" i="20"/>
  <c r="R16" i="20"/>
  <c r="K16" i="20"/>
  <c r="G16" i="20"/>
  <c r="N15" i="20"/>
  <c r="K13" i="20"/>
  <c r="H15" i="20"/>
  <c r="J13" i="20"/>
  <c r="L24" i="20"/>
  <c r="P22" i="20"/>
  <c r="O23" i="20"/>
  <c r="M24" i="20"/>
  <c r="G22" i="20"/>
  <c r="R22" i="20"/>
  <c r="E23" i="20"/>
  <c r="Q23" i="20"/>
  <c r="D24" i="20"/>
  <c r="N24" i="20"/>
  <c r="F24" i="20"/>
  <c r="P24" i="20"/>
  <c r="H23" i="20"/>
  <c r="G24" i="20"/>
  <c r="Q24" i="20"/>
  <c r="I23" i="20"/>
  <c r="K22" i="20"/>
  <c r="J23" i="20"/>
  <c r="H24" i="20"/>
  <c r="R24" i="20"/>
  <c r="L22" i="20"/>
  <c r="K23" i="20"/>
  <c r="O15" i="20"/>
  <c r="G14" i="20"/>
  <c r="P15" i="20"/>
  <c r="I15" i="20"/>
  <c r="M13" i="20"/>
  <c r="D15" i="20"/>
  <c r="J15" i="20"/>
  <c r="K15" i="20"/>
  <c r="K14" i="20"/>
  <c r="Q15" i="20"/>
  <c r="R14" i="20"/>
  <c r="F15" i="20"/>
  <c r="R15" i="20"/>
  <c r="E15" i="20"/>
  <c r="L15" i="20"/>
  <c r="F13" i="20"/>
  <c r="R13" i="20"/>
  <c r="M14" i="20"/>
  <c r="G15" i="20"/>
  <c r="M15" i="20"/>
  <c r="P14" i="20"/>
  <c r="D14" i="20"/>
  <c r="I13" i="20"/>
  <c r="D13" i="20"/>
  <c r="L13" i="20"/>
  <c r="O13" i="20"/>
  <c r="J14" i="20"/>
  <c r="P13" i="20"/>
  <c r="H14" i="20"/>
  <c r="N14" i="20"/>
  <c r="E13" i="20"/>
  <c r="Q13" i="20"/>
  <c r="I14" i="20"/>
  <c r="O14" i="20"/>
  <c r="E14" i="20"/>
  <c r="Q14" i="20"/>
  <c r="G13" i="20"/>
  <c r="H13" i="20"/>
  <c r="N13" i="20"/>
  <c r="F14" i="20"/>
  <c r="L14" i="20"/>
  <c r="N17" i="20" l="1"/>
  <c r="R17" i="20"/>
  <c r="M17" i="20"/>
  <c r="P17" i="20"/>
  <c r="G17" i="20"/>
  <c r="D17" i="20"/>
  <c r="O5" i="20"/>
  <c r="L26" i="20"/>
  <c r="I26" i="20"/>
  <c r="F17" i="20"/>
  <c r="P26" i="20"/>
  <c r="J26" i="20"/>
  <c r="N26" i="20"/>
  <c r="O17" i="20"/>
  <c r="J17" i="20"/>
  <c r="O26" i="20"/>
  <c r="L17" i="20"/>
  <c r="Q26" i="20"/>
  <c r="K17" i="20"/>
  <c r="I17" i="20"/>
  <c r="H26" i="20"/>
  <c r="M26" i="20"/>
  <c r="H17" i="20"/>
  <c r="Q17" i="20"/>
  <c r="O4" i="20"/>
  <c r="R26" i="20"/>
  <c r="D26" i="20"/>
  <c r="E17" i="20"/>
  <c r="K26" i="20"/>
  <c r="G26" i="20"/>
  <c r="E26" i="20"/>
  <c r="F26" i="20"/>
  <c r="O7" i="20"/>
  <c r="U25" i="20"/>
  <c r="X25" i="20"/>
  <c r="N7" i="20"/>
  <c r="M7" i="20"/>
  <c r="L7" i="20"/>
  <c r="T25" i="20"/>
  <c r="W25" i="20"/>
  <c r="K7" i="20"/>
  <c r="V25" i="20"/>
  <c r="S25" i="20"/>
  <c r="L6" i="20"/>
  <c r="N5" i="20"/>
  <c r="M5" i="20"/>
  <c r="L4" i="20"/>
  <c r="T22" i="20"/>
  <c r="K4" i="20"/>
  <c r="S22" i="20"/>
  <c r="M4" i="20"/>
  <c r="T24" i="20"/>
  <c r="S23" i="20"/>
  <c r="V23" i="20"/>
  <c r="X16" i="20"/>
  <c r="E7" i="20"/>
  <c r="X15" i="20"/>
  <c r="H5" i="20"/>
  <c r="H4" i="20"/>
  <c r="G7" i="20"/>
  <c r="W16" i="20"/>
  <c r="G4" i="20"/>
  <c r="F4" i="20"/>
  <c r="F6" i="20"/>
  <c r="X22" i="20"/>
  <c r="U22" i="20"/>
  <c r="D7" i="20"/>
  <c r="S16" i="20"/>
  <c r="V16" i="20"/>
  <c r="F7" i="20"/>
  <c r="W13" i="20"/>
  <c r="H7" i="20"/>
  <c r="T16" i="20"/>
  <c r="U16" i="20"/>
  <c r="G5" i="20"/>
  <c r="G6" i="20"/>
  <c r="X23" i="20"/>
  <c r="T13" i="20"/>
  <c r="U23" i="20"/>
  <c r="W22" i="20"/>
  <c r="V22" i="20"/>
  <c r="H6" i="20"/>
  <c r="E6" i="20"/>
  <c r="U15" i="20"/>
  <c r="S24" i="20"/>
  <c r="V24" i="20"/>
  <c r="K6" i="20"/>
  <c r="O6" i="20"/>
  <c r="L5" i="20"/>
  <c r="T23" i="20"/>
  <c r="W23" i="20"/>
  <c r="N6" i="20"/>
  <c r="N4" i="20"/>
  <c r="M6" i="20"/>
  <c r="W24" i="20"/>
  <c r="K5" i="20"/>
  <c r="U24" i="20"/>
  <c r="X24" i="20"/>
  <c r="D6" i="20"/>
  <c r="S15" i="20"/>
  <c r="V15" i="20"/>
  <c r="T15" i="20"/>
  <c r="W15" i="20"/>
  <c r="F5" i="20"/>
  <c r="E4" i="20"/>
  <c r="E5" i="20"/>
  <c r="D5" i="20"/>
  <c r="X14" i="20"/>
  <c r="X13" i="20"/>
  <c r="D4" i="20"/>
  <c r="W14" i="20"/>
  <c r="S13" i="20"/>
  <c r="U13" i="20"/>
  <c r="V14" i="20"/>
  <c r="V13" i="20"/>
  <c r="V17" i="20" s="1"/>
  <c r="T14" i="20"/>
  <c r="U14" i="20"/>
  <c r="S14" i="20"/>
  <c r="B3" i="66"/>
  <c r="B2" i="66"/>
  <c r="A16" i="66"/>
  <c r="A15" i="66"/>
  <c r="A14" i="66"/>
  <c r="A13" i="66"/>
  <c r="A11" i="66"/>
  <c r="A10" i="66"/>
  <c r="I3" i="66"/>
  <c r="H3" i="66"/>
  <c r="G3" i="66"/>
  <c r="P7" i="20" l="1"/>
  <c r="U17" i="20"/>
  <c r="W26" i="20"/>
  <c r="U26" i="20"/>
  <c r="S17" i="20"/>
  <c r="S26" i="20"/>
  <c r="X17" i="20"/>
  <c r="T26" i="20"/>
  <c r="X26" i="20"/>
  <c r="W17" i="20"/>
  <c r="T17" i="20"/>
  <c r="V26" i="20"/>
  <c r="Q7" i="20"/>
  <c r="Q5" i="20"/>
  <c r="Q4" i="20"/>
  <c r="J4" i="20"/>
  <c r="I7" i="20"/>
  <c r="J5" i="20"/>
  <c r="I5" i="20"/>
  <c r="J7" i="20"/>
  <c r="P5" i="20"/>
  <c r="Q6" i="20"/>
  <c r="P6" i="20"/>
  <c r="P4" i="20"/>
  <c r="J6" i="20"/>
  <c r="I6" i="20"/>
  <c r="I4" i="20"/>
  <c r="A12" i="66"/>
  <c r="J3" i="66"/>
</calcChain>
</file>

<file path=xl/sharedStrings.xml><?xml version="1.0" encoding="utf-8"?>
<sst xmlns="http://schemas.openxmlformats.org/spreadsheetml/2006/main" count="214" uniqueCount="74">
  <si>
    <t xml:space="preserve">       TESTCASE DOCUMENTS</t>
  </si>
  <si>
    <t>Project Name:</t>
  </si>
  <si>
    <t>Nhập tên dự án</t>
    <phoneticPr fontId="12"/>
  </si>
  <si>
    <t>Reviewer:</t>
  </si>
  <si>
    <t>HaPT</t>
    <phoneticPr fontId="12"/>
  </si>
  <si>
    <t>Phase:</t>
  </si>
  <si>
    <t xml:space="preserve">Nhâp tên phase </t>
    <phoneticPr fontId="12"/>
  </si>
  <si>
    <t>Created time (h):</t>
  </si>
  <si>
    <t>Record of change:</t>
  </si>
  <si>
    <r>
      <t xml:space="preserve"> (</t>
    </r>
    <r>
      <rPr>
        <sz val="12"/>
        <color rgb="FFFF0000"/>
        <rFont val="Times New Roman"/>
        <family val="1"/>
      </rPr>
      <t>*</t>
    </r>
    <r>
      <rPr>
        <sz val="12"/>
        <rFont val="Times New Roman"/>
        <family val="1"/>
      </rPr>
      <t>) A (Add), M (Modify), D (Delete)</t>
    </r>
  </si>
  <si>
    <t>Date</t>
    <phoneticPr fontId="12"/>
  </si>
  <si>
    <t>Version</t>
  </si>
  <si>
    <t>Change Description</t>
  </si>
  <si>
    <r>
      <t>A, D, M (</t>
    </r>
    <r>
      <rPr>
        <b/>
        <sz val="12"/>
        <color rgb="FFFF0000"/>
        <rFont val="Times New Roman"/>
        <family val="1"/>
      </rPr>
      <t>*</t>
    </r>
    <r>
      <rPr>
        <b/>
        <sz val="12"/>
        <color rgb="FFFFFFFF"/>
        <rFont val="Times New Roman"/>
        <family val="1"/>
      </rPr>
      <t>)</t>
    </r>
  </si>
  <si>
    <t>Change item</t>
  </si>
  <si>
    <t>Reference</t>
  </si>
  <si>
    <t>PIC</t>
  </si>
  <si>
    <t>Round 1</t>
  </si>
  <si>
    <t>Pass</t>
  </si>
  <si>
    <t>Fail</t>
  </si>
  <si>
    <t>Untested</t>
  </si>
  <si>
    <t>Rejected</t>
  </si>
  <si>
    <t>Total</t>
  </si>
  <si>
    <t>Environment</t>
  </si>
  <si>
    <t>High</t>
  </si>
  <si>
    <t>Normal</t>
  </si>
  <si>
    <t>Low</t>
  </si>
  <si>
    <t>Tester</t>
  </si>
  <si>
    <t>Note</t>
  </si>
  <si>
    <t>Module:</t>
  </si>
  <si>
    <t>Creator:</t>
  </si>
  <si>
    <t>Priority</t>
  </si>
  <si>
    <t>Round 2</t>
  </si>
  <si>
    <t>Project name:</t>
  </si>
  <si>
    <t>Created date:</t>
  </si>
  <si>
    <t>% coverage</t>
  </si>
  <si>
    <t>Pass coverage</t>
    <phoneticPr fontId="3"/>
  </si>
  <si>
    <t>% coverage</t>
    <phoneticPr fontId="12"/>
  </si>
  <si>
    <t>Created time:</t>
  </si>
  <si>
    <t>ID</t>
  </si>
  <si>
    <t>Category</t>
    <phoneticPr fontId="3"/>
  </si>
  <si>
    <t>Performance steps(test steps)</t>
    <phoneticPr fontId="3"/>
  </si>
  <si>
    <t>Test Data</t>
    <phoneticPr fontId="3"/>
  </si>
  <si>
    <t>Expected result</t>
    <phoneticPr fontId="3"/>
  </si>
  <si>
    <t>Priority</t>
    <phoneticPr fontId="3"/>
  </si>
  <si>
    <t>Date</t>
  </si>
  <si>
    <t>Trường email</t>
  </si>
  <si>
    <t>&lt;List all test cases or conditions that must be done before performing this case&gt;</t>
  </si>
  <si>
    <t>&lt;Describe steps to perform this case&gt;
Ex:
1. Login the system with Manager role.
2. Click "Company" tab in the left menu.</t>
  </si>
  <si>
    <t xml:space="preserve">&lt;Describe results which meet customer's requirement&gt;
Ex:
The "Company" view form is displayed with the folowing informations:
- Company name
- Company address
- Phone
- Fax
</t>
    <phoneticPr fontId="12"/>
  </si>
  <si>
    <t>Sub Category</t>
    <phoneticPr fontId="3"/>
  </si>
  <si>
    <t>% Coverage</t>
  </si>
  <si>
    <t>% Pass converage</t>
  </si>
  <si>
    <t>Round1</t>
  </si>
  <si>
    <t>Test Result</t>
  </si>
  <si>
    <t>Test coverage (%)</t>
  </si>
  <si>
    <t>Total:</t>
  </si>
  <si>
    <t>No</t>
  </si>
  <si>
    <t>Module/Function</t>
  </si>
  <si>
    <t>Total TC</t>
  </si>
  <si>
    <t>Creator</t>
  </si>
  <si>
    <t>General statistic</t>
  </si>
  <si>
    <t>Pass coverage (%)</t>
  </si>
  <si>
    <t>Round 1 in detail</t>
  </si>
  <si>
    <t>Round 2 in detail</t>
  </si>
  <si>
    <t>Module 1</t>
  </si>
  <si>
    <t>Test result round 1</t>
  </si>
  <si>
    <t>BugID</t>
  </si>
  <si>
    <t>Test result round 2</t>
  </si>
  <si>
    <t>Round base statistic</t>
  </si>
  <si>
    <t>EV1</t>
  </si>
  <si>
    <t>EV2</t>
  </si>
  <si>
    <t>EV3</t>
  </si>
  <si>
    <t>EV4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</si>
</sst>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"/>
  </numFmts>
  <fonts count="20">
    <font>
      <sz val="11"/>
      <color theme="1"/>
      <name val="Calibri"/>
      <family val="2"/>
      <charset val="163"/>
      <scheme val="minor"/>
    </font>
    <font>
      <b/>
      <sz val="12"/>
      <color indexed="60"/>
      <name val="Times New Roman"/>
      <family val="1"/>
    </font>
    <font>
      <i/>
      <sz val="12"/>
      <name val="Times New Roman"/>
      <family val="1"/>
    </font>
    <font>
      <sz val="11"/>
      <name val="ＭＳ Ｐゴシック"/>
      <family val="2"/>
    </font>
    <font>
      <sz val="12"/>
      <name val="Times New Roman"/>
      <family val="1"/>
    </font>
    <font>
      <b/>
      <sz val="12"/>
      <color rgb="FF993300"/>
      <name val="Times New Roman"/>
      <family val="1"/>
    </font>
    <font>
      <sz val="12"/>
      <color rgb="FFFF0000"/>
      <name val="Times New Roman"/>
      <family val="1"/>
    </font>
    <font>
      <b/>
      <sz val="12"/>
      <color rgb="FFFFFFFF"/>
      <name val="Times New Roman"/>
      <family val="1"/>
    </font>
    <font>
      <b/>
      <sz val="12"/>
      <color rgb="FFFF0000"/>
      <name val="Times New Roman"/>
      <family val="1"/>
    </font>
    <font>
      <i/>
      <sz val="12"/>
      <color theme="6" tint="-0.499984740745262"/>
      <name val="Times New Roman"/>
      <family val="1"/>
    </font>
    <font>
      <b/>
      <sz val="12"/>
      <color theme="5" tint="-0.499984740745262"/>
      <name val="Times New Roman"/>
      <family val="1"/>
    </font>
    <font>
      <b/>
      <sz val="12"/>
      <color theme="0"/>
      <name val="Times New Roman"/>
      <family val="1"/>
    </font>
    <font>
      <sz val="6"/>
      <name val="Calibri"/>
      <family val="3"/>
      <charset val="128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37A0D9"/>
      <name val="Times New Roman"/>
      <family val="1"/>
    </font>
    <font>
      <b/>
      <sz val="24"/>
      <color indexed="60"/>
      <name val="Times New Roman"/>
      <family val="1"/>
    </font>
    <font>
      <b/>
      <sz val="11"/>
      <color theme="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color theme="5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FF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rgb="FFC00000"/>
      </patternFill>
    </fill>
    <fill>
      <patternFill patternType="solid">
        <fgColor theme="4" tint="0.79998168889431442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rgb="FFC00000"/>
      </patternFill>
    </fill>
    <fill>
      <patternFill patternType="solid">
        <fgColor theme="0"/>
        <bgColor rgb="FFFFFFFF"/>
      </patternFill>
    </fill>
    <fill>
      <patternFill patternType="solid">
        <fgColor theme="0" tint="-4.9989318521683403E-2"/>
        <bgColor rgb="FF000080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9" tint="-0.499984740745262"/>
        <bgColor rgb="FF000080"/>
      </patternFill>
    </fill>
    <fill>
      <patternFill patternType="solid">
        <fgColor theme="9" tint="0.39994506668294322"/>
        <bgColor rgb="FF000080"/>
      </patternFill>
    </fill>
    <fill>
      <patternFill patternType="solid">
        <fgColor theme="4" tint="0.39994506668294322"/>
        <bgColor rgb="FF000080"/>
      </patternFill>
    </fill>
    <fill>
      <patternFill patternType="solid">
        <fgColor theme="0" tint="-0.14996795556505021"/>
        <bgColor rgb="FF000080"/>
      </patternFill>
    </fill>
  </fills>
  <borders count="30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123">
    <xf numFmtId="0" fontId="0" fillId="0" borderId="0" xfId="0"/>
    <xf numFmtId="0" fontId="4" fillId="8" borderId="0" xfId="0" applyFont="1" applyFill="1" applyAlignment="1">
      <alignment vertical="center" wrapText="1"/>
    </xf>
    <xf numFmtId="0" fontId="4" fillId="7" borderId="0" xfId="0" applyFont="1" applyFill="1" applyAlignment="1">
      <alignment vertical="center" wrapText="1"/>
    </xf>
    <xf numFmtId="0" fontId="10" fillId="7" borderId="0" xfId="0" applyFont="1" applyFill="1" applyAlignment="1">
      <alignment horizontal="left" vertical="center" wrapText="1"/>
    </xf>
    <xf numFmtId="0" fontId="10" fillId="7" borderId="0" xfId="0" applyFont="1" applyFill="1" applyAlignment="1">
      <alignment horizontal="right" vertical="center" wrapText="1"/>
    </xf>
    <xf numFmtId="0" fontId="13" fillId="0" borderId="0" xfId="0" applyFont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1" fontId="16" fillId="3" borderId="0" xfId="0" applyNumberFormat="1" applyFont="1" applyFill="1" applyAlignment="1">
      <alignment horizontal="left" vertical="center"/>
    </xf>
    <xf numFmtId="0" fontId="13" fillId="5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0" fontId="11" fillId="5" borderId="0" xfId="0" applyFont="1" applyFill="1" applyAlignment="1">
      <alignment vertical="center"/>
    </xf>
    <xf numFmtId="164" fontId="11" fillId="10" borderId="0" xfId="0" applyNumberFormat="1" applyFont="1" applyFill="1" applyAlignment="1">
      <alignment horizontal="center" vertical="center" wrapText="1"/>
    </xf>
    <xf numFmtId="0" fontId="11" fillId="5" borderId="0" xfId="0" applyFont="1" applyFill="1" applyAlignment="1">
      <alignment vertical="center" wrapText="1"/>
    </xf>
    <xf numFmtId="0" fontId="4" fillId="5" borderId="0" xfId="0" applyFont="1" applyFill="1" applyAlignment="1">
      <alignment vertical="center" wrapText="1"/>
    </xf>
    <xf numFmtId="0" fontId="4" fillId="11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 wrapText="1"/>
    </xf>
    <xf numFmtId="49" fontId="2" fillId="4" borderId="9" xfId="0" applyNumberFormat="1" applyFont="1" applyFill="1" applyBorder="1" applyAlignment="1">
      <alignment horizontal="center" vertical="center"/>
    </xf>
    <xf numFmtId="164" fontId="7" fillId="6" borderId="9" xfId="0" applyNumberFormat="1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 vertical="center" wrapText="1"/>
    </xf>
    <xf numFmtId="49" fontId="4" fillId="2" borderId="9" xfId="0" applyNumberFormat="1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15" fontId="4" fillId="2" borderId="9" xfId="0" applyNumberFormat="1" applyFont="1" applyFill="1" applyBorder="1" applyAlignment="1">
      <alignment horizontal="center" vertical="center"/>
    </xf>
    <xf numFmtId="15" fontId="2" fillId="2" borderId="9" xfId="0" applyNumberFormat="1" applyFont="1" applyFill="1" applyBorder="1" applyAlignment="1">
      <alignment horizontal="center" vertical="center" wrapText="1"/>
    </xf>
    <xf numFmtId="0" fontId="13" fillId="2" borderId="9" xfId="0" applyFont="1" applyFill="1" applyBorder="1" applyAlignment="1">
      <alignment horizontal="center" vertical="center"/>
    </xf>
    <xf numFmtId="164" fontId="2" fillId="2" borderId="9" xfId="0" applyNumberFormat="1" applyFont="1" applyFill="1" applyBorder="1" applyAlignment="1">
      <alignment horizontal="center" vertical="center"/>
    </xf>
    <xf numFmtId="0" fontId="4" fillId="8" borderId="5" xfId="0" applyFont="1" applyFill="1" applyBorder="1" applyAlignment="1">
      <alignment vertical="center" wrapText="1"/>
    </xf>
    <xf numFmtId="164" fontId="11" fillId="6" borderId="2" xfId="0" applyNumberFormat="1" applyFont="1" applyFill="1" applyBorder="1" applyAlignment="1">
      <alignment horizontal="center" vertical="center" wrapText="1"/>
    </xf>
    <xf numFmtId="0" fontId="4" fillId="8" borderId="7" xfId="0" applyFont="1" applyFill="1" applyBorder="1" applyAlignment="1">
      <alignment vertical="center" wrapText="1"/>
    </xf>
    <xf numFmtId="0" fontId="2" fillId="0" borderId="9" xfId="0" applyFont="1" applyBorder="1" applyAlignment="1">
      <alignment vertical="center" wrapText="1"/>
    </xf>
    <xf numFmtId="0" fontId="2" fillId="0" borderId="9" xfId="0" applyFont="1" applyBorder="1" applyAlignment="1">
      <alignment horizontal="left" vertical="center" wrapText="1"/>
    </xf>
    <xf numFmtId="0" fontId="4" fillId="0" borderId="6" xfId="0" applyFont="1" applyBorder="1" applyAlignment="1">
      <alignment vertical="center" wrapText="1"/>
    </xf>
    <xf numFmtId="0" fontId="4" fillId="0" borderId="9" xfId="0" applyFont="1" applyBorder="1" applyAlignment="1">
      <alignment vertical="center" wrapText="1"/>
    </xf>
    <xf numFmtId="0" fontId="4" fillId="0" borderId="9" xfId="0" applyFont="1" applyBorder="1" applyAlignment="1">
      <alignment horizontal="center" vertical="center" wrapText="1"/>
    </xf>
    <xf numFmtId="164" fontId="11" fillId="6" borderId="10" xfId="0" applyNumberFormat="1" applyFont="1" applyFill="1" applyBorder="1" applyAlignment="1">
      <alignment horizontal="center" vertical="center" wrapText="1"/>
    </xf>
    <xf numFmtId="49" fontId="4" fillId="8" borderId="5" xfId="0" applyNumberFormat="1" applyFont="1" applyFill="1" applyBorder="1" applyAlignment="1">
      <alignment vertical="center" wrapText="1"/>
    </xf>
    <xf numFmtId="0" fontId="13" fillId="5" borderId="0" xfId="0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center" vertical="center" wrapText="1"/>
    </xf>
    <xf numFmtId="0" fontId="0" fillId="0" borderId="0" xfId="0" applyFill="1" applyBorder="1" applyAlignment="1"/>
    <xf numFmtId="49" fontId="4" fillId="8" borderId="0" xfId="0" applyNumberFormat="1" applyFont="1" applyFill="1" applyBorder="1" applyAlignment="1">
      <alignment vertical="center" wrapText="1"/>
    </xf>
    <xf numFmtId="0" fontId="4" fillId="8" borderId="0" xfId="0" applyFont="1" applyFill="1" applyBorder="1" applyAlignment="1">
      <alignment vertical="center" wrapText="1"/>
    </xf>
    <xf numFmtId="0" fontId="13" fillId="5" borderId="12" xfId="0" applyFont="1" applyFill="1" applyBorder="1" applyAlignment="1">
      <alignment horizontal="center" vertical="center" wrapText="1"/>
    </xf>
    <xf numFmtId="164" fontId="11" fillId="9" borderId="14" xfId="0" applyNumberFormat="1" applyFont="1" applyFill="1" applyBorder="1" applyAlignment="1">
      <alignment horizontal="center" vertical="center" wrapText="1"/>
    </xf>
    <xf numFmtId="1" fontId="1" fillId="4" borderId="9" xfId="0" applyNumberFormat="1" applyFont="1" applyFill="1" applyBorder="1" applyAlignment="1">
      <alignment horizontal="center" vertical="center"/>
    </xf>
    <xf numFmtId="49" fontId="2" fillId="4" borderId="6" xfId="1" applyNumberFormat="1" applyFont="1" applyFill="1" applyBorder="1" applyAlignment="1">
      <alignment horizontal="center" vertical="center"/>
    </xf>
    <xf numFmtId="49" fontId="2" fillId="4" borderId="8" xfId="1" applyNumberFormat="1" applyFont="1" applyFill="1" applyBorder="1" applyAlignment="1">
      <alignment horizontal="center" vertical="center"/>
    </xf>
    <xf numFmtId="0" fontId="2" fillId="4" borderId="6" xfId="1" applyFont="1" applyFill="1" applyBorder="1" applyAlignment="1">
      <alignment horizontal="center" vertical="center"/>
    </xf>
    <xf numFmtId="0" fontId="2" fillId="4" borderId="8" xfId="1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 wrapText="1"/>
    </xf>
    <xf numFmtId="0" fontId="11" fillId="9" borderId="5" xfId="0" applyFont="1" applyFill="1" applyBorder="1" applyAlignment="1">
      <alignment horizontal="center" vertical="center" wrapText="1"/>
    </xf>
    <xf numFmtId="0" fontId="11" fillId="9" borderId="4" xfId="0" applyFont="1" applyFill="1" applyBorder="1" applyAlignment="1">
      <alignment horizontal="center" vertical="center" wrapText="1"/>
    </xf>
    <xf numFmtId="164" fontId="11" fillId="6" borderId="2" xfId="0" applyNumberFormat="1" applyFont="1" applyFill="1" applyBorder="1" applyAlignment="1">
      <alignment horizontal="center" vertical="center" wrapText="1"/>
    </xf>
    <xf numFmtId="164" fontId="11" fillId="6" borderId="3" xfId="0" applyNumberFormat="1" applyFont="1" applyFill="1" applyBorder="1" applyAlignment="1">
      <alignment horizontal="center" vertical="center" wrapText="1"/>
    </xf>
    <xf numFmtId="164" fontId="11" fillId="6" borderId="6" xfId="0" applyNumberFormat="1" applyFont="1" applyFill="1" applyBorder="1" applyAlignment="1">
      <alignment horizontal="center" vertical="center" wrapText="1"/>
    </xf>
    <xf numFmtId="164" fontId="11" fillId="6" borderId="7" xfId="0" applyNumberFormat="1" applyFont="1" applyFill="1" applyBorder="1" applyAlignment="1">
      <alignment horizontal="center" vertical="center" wrapText="1"/>
    </xf>
    <xf numFmtId="164" fontId="11" fillId="6" borderId="8" xfId="0" applyNumberFormat="1" applyFont="1" applyFill="1" applyBorder="1" applyAlignment="1">
      <alignment horizontal="center" vertical="center" wrapText="1"/>
    </xf>
    <xf numFmtId="0" fontId="19" fillId="5" borderId="0" xfId="0" applyFont="1" applyFill="1" applyAlignment="1">
      <alignment horizontal="center" vertical="center" wrapText="1"/>
    </xf>
    <xf numFmtId="0" fontId="13" fillId="5" borderId="14" xfId="0" applyFont="1" applyFill="1" applyBorder="1" applyAlignment="1">
      <alignment horizontal="center" vertical="center" wrapText="1"/>
    </xf>
    <xf numFmtId="0" fontId="11" fillId="9" borderId="14" xfId="0" applyFont="1" applyFill="1" applyBorder="1" applyAlignment="1">
      <alignment horizontal="center" vertical="center" wrapText="1"/>
    </xf>
    <xf numFmtId="0" fontId="11" fillId="9" borderId="14" xfId="0" applyFont="1" applyFill="1" applyBorder="1" applyAlignment="1">
      <alignment horizontal="center" vertical="center" wrapText="1"/>
    </xf>
    <xf numFmtId="0" fontId="14" fillId="12" borderId="14" xfId="0" applyFont="1" applyFill="1" applyBorder="1" applyAlignment="1">
      <alignment horizontal="center" vertical="center" wrapText="1"/>
    </xf>
    <xf numFmtId="0" fontId="13" fillId="13" borderId="14" xfId="0" applyFont="1" applyFill="1" applyBorder="1" applyAlignment="1">
      <alignment horizontal="center" vertical="center" wrapText="1"/>
    </xf>
    <xf numFmtId="0" fontId="14" fillId="13" borderId="14" xfId="0" applyFont="1" applyFill="1" applyBorder="1" applyAlignment="1">
      <alignment horizontal="center" vertical="center" wrapText="1"/>
    </xf>
    <xf numFmtId="9" fontId="8" fillId="13" borderId="14" xfId="0" applyNumberFormat="1" applyFont="1" applyFill="1" applyBorder="1" applyAlignment="1">
      <alignment horizontal="center" vertical="center" wrapText="1"/>
    </xf>
    <xf numFmtId="0" fontId="13" fillId="14" borderId="14" xfId="0" applyFont="1" applyFill="1" applyBorder="1" applyAlignment="1">
      <alignment horizontal="center" vertical="center" wrapText="1"/>
    </xf>
    <xf numFmtId="0" fontId="14" fillId="14" borderId="14" xfId="0" applyFont="1" applyFill="1" applyBorder="1" applyAlignment="1">
      <alignment horizontal="center" vertical="center" wrapText="1"/>
    </xf>
    <xf numFmtId="9" fontId="8" fillId="14" borderId="14" xfId="0" applyNumberFormat="1" applyFont="1" applyFill="1" applyBorder="1" applyAlignment="1">
      <alignment horizontal="center" vertical="center" wrapText="1"/>
    </xf>
    <xf numFmtId="0" fontId="19" fillId="5" borderId="13" xfId="0" applyFont="1" applyFill="1" applyBorder="1" applyAlignment="1">
      <alignment horizontal="center" vertical="center" wrapText="1"/>
    </xf>
    <xf numFmtId="0" fontId="13" fillId="16" borderId="14" xfId="0" applyFont="1" applyFill="1" applyBorder="1" applyAlignment="1">
      <alignment horizontal="center" vertical="center" wrapText="1"/>
    </xf>
    <xf numFmtId="0" fontId="14" fillId="16" borderId="14" xfId="0" applyFont="1" applyFill="1" applyBorder="1" applyAlignment="1">
      <alignment horizontal="center" vertical="center" wrapText="1"/>
    </xf>
    <xf numFmtId="0" fontId="13" fillId="17" borderId="14" xfId="0" applyFont="1" applyFill="1" applyBorder="1" applyAlignment="1">
      <alignment horizontal="center" vertical="center" wrapText="1"/>
    </xf>
    <xf numFmtId="0" fontId="14" fillId="17" borderId="14" xfId="0" applyFont="1" applyFill="1" applyBorder="1" applyAlignment="1">
      <alignment horizontal="center" vertical="center" wrapText="1"/>
    </xf>
    <xf numFmtId="0" fontId="13" fillId="18" borderId="14" xfId="0" applyFont="1" applyFill="1" applyBorder="1" applyAlignment="1">
      <alignment horizontal="center" vertical="center" wrapText="1"/>
    </xf>
    <xf numFmtId="0" fontId="14" fillId="18" borderId="14" xfId="0" applyFont="1" applyFill="1" applyBorder="1" applyAlignment="1">
      <alignment horizontal="center" vertical="center" wrapText="1"/>
    </xf>
    <xf numFmtId="0" fontId="14" fillId="5" borderId="14" xfId="0" applyFont="1" applyFill="1" applyBorder="1" applyAlignment="1">
      <alignment horizontal="center" vertical="center" wrapText="1"/>
    </xf>
    <xf numFmtId="0" fontId="11" fillId="15" borderId="14" xfId="0" applyFont="1" applyFill="1" applyBorder="1" applyAlignment="1">
      <alignment horizontal="center" vertical="center" wrapText="1"/>
    </xf>
    <xf numFmtId="0" fontId="11" fillId="15" borderId="14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13" fillId="5" borderId="20" xfId="0" applyFont="1" applyFill="1" applyBorder="1" applyAlignment="1">
      <alignment horizontal="center" vertical="center" wrapText="1"/>
    </xf>
    <xf numFmtId="0" fontId="11" fillId="9" borderId="20" xfId="0" applyFont="1" applyFill="1" applyBorder="1" applyAlignment="1">
      <alignment horizontal="center" vertical="center" wrapText="1"/>
    </xf>
    <xf numFmtId="0" fontId="11" fillId="9" borderId="19" xfId="0" applyFont="1" applyFill="1" applyBorder="1" applyAlignment="1">
      <alignment horizontal="center" vertical="center" wrapText="1"/>
    </xf>
    <xf numFmtId="0" fontId="11" fillId="9" borderId="20" xfId="0" applyFont="1" applyFill="1" applyBorder="1" applyAlignment="1">
      <alignment horizontal="center" vertical="center" wrapText="1"/>
    </xf>
    <xf numFmtId="0" fontId="13" fillId="16" borderId="20" xfId="0" applyFont="1" applyFill="1" applyBorder="1" applyAlignment="1">
      <alignment horizontal="center" vertical="center" wrapText="1"/>
    </xf>
    <xf numFmtId="0" fontId="14" fillId="16" borderId="20" xfId="0" applyFont="1" applyFill="1" applyBorder="1" applyAlignment="1">
      <alignment horizontal="center" vertical="center" wrapText="1"/>
    </xf>
    <xf numFmtId="0" fontId="13" fillId="17" borderId="20" xfId="0" applyFont="1" applyFill="1" applyBorder="1" applyAlignment="1">
      <alignment horizontal="center" vertical="center" wrapText="1"/>
    </xf>
    <xf numFmtId="0" fontId="14" fillId="17" borderId="20" xfId="0" applyFont="1" applyFill="1" applyBorder="1" applyAlignment="1">
      <alignment horizontal="center" vertical="center" wrapText="1"/>
    </xf>
    <xf numFmtId="0" fontId="13" fillId="18" borderId="20" xfId="0" applyFont="1" applyFill="1" applyBorder="1" applyAlignment="1">
      <alignment horizontal="center" vertical="center" wrapText="1"/>
    </xf>
    <xf numFmtId="0" fontId="14" fillId="18" borderId="20" xfId="0" applyFont="1" applyFill="1" applyBorder="1" applyAlignment="1">
      <alignment horizontal="center" vertical="center" wrapText="1"/>
    </xf>
    <xf numFmtId="0" fontId="14" fillId="5" borderId="20" xfId="0" applyFont="1" applyFill="1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3" fillId="5" borderId="24" xfId="0" applyFont="1" applyFill="1" applyBorder="1" applyAlignment="1">
      <alignment horizontal="center" vertical="center" wrapText="1"/>
    </xf>
    <xf numFmtId="0" fontId="13" fillId="0" borderId="13" xfId="0" applyFont="1" applyBorder="1" applyAlignment="1">
      <alignment horizontal="center" vertical="center" wrapText="1"/>
    </xf>
    <xf numFmtId="0" fontId="13" fillId="0" borderId="14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25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 wrapText="1"/>
    </xf>
    <xf numFmtId="164" fontId="11" fillId="9" borderId="14" xfId="0" applyNumberFormat="1" applyFont="1" applyFill="1" applyBorder="1" applyAlignment="1">
      <alignment horizontal="center" vertical="center" wrapText="1"/>
    </xf>
    <xf numFmtId="0" fontId="17" fillId="9" borderId="14" xfId="0" applyFont="1" applyFill="1" applyBorder="1" applyAlignment="1">
      <alignment horizontal="center" vertical="center"/>
    </xf>
    <xf numFmtId="0" fontId="17" fillId="9" borderId="14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vertical="center" wrapText="1"/>
    </xf>
    <xf numFmtId="14" fontId="4" fillId="0" borderId="14" xfId="0" applyNumberFormat="1" applyFont="1" applyFill="1" applyBorder="1" applyAlignment="1">
      <alignment vertical="center" wrapText="1"/>
    </xf>
    <xf numFmtId="0" fontId="0" fillId="0" borderId="14" xfId="0" applyFill="1" applyBorder="1" applyAlignment="1"/>
    <xf numFmtId="0" fontId="17" fillId="0" borderId="0" xfId="0" applyFont="1" applyFill="1" applyBorder="1" applyAlignment="1">
      <alignment horizontal="center" vertical="center"/>
    </xf>
    <xf numFmtId="164" fontId="11" fillId="9" borderId="26" xfId="0" applyNumberFormat="1" applyFont="1" applyFill="1" applyBorder="1" applyAlignment="1">
      <alignment horizontal="center" vertical="center" wrapText="1"/>
    </xf>
    <xf numFmtId="0" fontId="4" fillId="7" borderId="26" xfId="0" applyFont="1" applyFill="1" applyBorder="1" applyAlignment="1">
      <alignment horizontal="right" vertical="center" wrapText="1"/>
    </xf>
    <xf numFmtId="0" fontId="4" fillId="7" borderId="26" xfId="0" applyFont="1" applyFill="1" applyBorder="1" applyAlignment="1">
      <alignment horizontal="center" vertical="center" wrapText="1"/>
    </xf>
    <xf numFmtId="9" fontId="4" fillId="7" borderId="26" xfId="0" applyNumberFormat="1" applyFont="1" applyFill="1" applyBorder="1" applyAlignment="1">
      <alignment horizontal="center" vertical="center" wrapText="1"/>
    </xf>
    <xf numFmtId="164" fontId="11" fillId="9" borderId="20" xfId="0" applyNumberFormat="1" applyFont="1" applyFill="1" applyBorder="1" applyAlignment="1">
      <alignment horizontal="center" vertical="center" wrapText="1"/>
    </xf>
    <xf numFmtId="0" fontId="0" fillId="0" borderId="20" xfId="0" applyBorder="1" applyAlignment="1">
      <alignment horizontal="right" vertical="center" wrapText="1"/>
    </xf>
    <xf numFmtId="0" fontId="4" fillId="7" borderId="20" xfId="0" applyFont="1" applyFill="1" applyBorder="1" applyAlignment="1">
      <alignment horizontal="center" vertical="center" wrapText="1"/>
    </xf>
    <xf numFmtId="9" fontId="4" fillId="7" borderId="20" xfId="0" applyNumberFormat="1" applyFont="1" applyFill="1" applyBorder="1" applyAlignment="1">
      <alignment horizontal="center" vertical="center" wrapText="1"/>
    </xf>
    <xf numFmtId="0" fontId="13" fillId="5" borderId="27" xfId="0" applyFont="1" applyFill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13" fillId="5" borderId="16" xfId="0" applyFont="1" applyFill="1" applyBorder="1" applyAlignment="1">
      <alignment horizontal="center" vertical="center" wrapText="1"/>
    </xf>
    <xf numFmtId="0" fontId="13" fillId="5" borderId="15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12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3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47625</xdr:rowOff>
    </xdr:from>
    <xdr:to>
      <xdr:col>2</xdr:col>
      <xdr:colOff>469900</xdr:colOff>
      <xdr:row>1</xdr:row>
      <xdr:rowOff>152400</xdr:rowOff>
    </xdr:to>
    <xdr:pic>
      <xdr:nvPicPr>
        <xdr:cNvPr id="2" name="Picture 1" descr="Logo_Only_blue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00" y="47625"/>
          <a:ext cx="1679575" cy="609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0</xdr:rowOff>
        </xdr:from>
        <xdr:to>
          <xdr:col>3</xdr:col>
          <xdr:colOff>171450</xdr:colOff>
          <xdr:row>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TẠO TEMPLATE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"/>
  <sheetViews>
    <sheetView workbookViewId="0">
      <selection activeCell="D3" sqref="D3"/>
    </sheetView>
  </sheetViews>
  <sheetFormatPr defaultColWidth="8.85546875" defaultRowHeight="15.75"/>
  <cols>
    <col min="1" max="1" width="4.85546875" style="5" customWidth="1"/>
    <col min="2" max="2" width="16" style="5" customWidth="1"/>
    <col min="3" max="3" width="9" style="5" customWidth="1"/>
    <col min="4" max="4" width="22.42578125" style="5" customWidth="1"/>
    <col min="5" max="5" width="9.42578125" style="5" customWidth="1"/>
    <col min="6" max="6" width="18.5703125" style="5" customWidth="1"/>
    <col min="7" max="7" width="18.42578125" style="5" customWidth="1"/>
    <col min="8" max="8" width="12.85546875" style="5" customWidth="1"/>
    <col min="9" max="16384" width="8.85546875" style="5"/>
  </cols>
  <sheetData>
    <row r="1" spans="1:8" ht="39.75" customHeight="1">
      <c r="A1" s="8"/>
      <c r="B1" s="7"/>
      <c r="C1" s="9"/>
      <c r="D1" s="12" t="s">
        <v>0</v>
      </c>
      <c r="E1" s="9"/>
      <c r="F1" s="9"/>
      <c r="G1" s="9"/>
      <c r="H1" s="6"/>
    </row>
    <row r="2" spans="1:8">
      <c r="A2" s="8"/>
      <c r="B2" s="7"/>
      <c r="C2" s="9"/>
      <c r="D2" s="9"/>
      <c r="E2" s="9"/>
      <c r="F2" s="9"/>
      <c r="G2" s="9"/>
      <c r="H2" s="6"/>
    </row>
    <row r="3" spans="1:8">
      <c r="A3" s="8"/>
      <c r="B3" s="47" t="s">
        <v>1</v>
      </c>
      <c r="C3" s="47"/>
      <c r="D3" s="21" t="s">
        <v>2</v>
      </c>
      <c r="E3" s="47" t="s">
        <v>3</v>
      </c>
      <c r="F3" s="47"/>
      <c r="G3" s="48" t="s">
        <v>4</v>
      </c>
      <c r="H3" s="49"/>
    </row>
    <row r="4" spans="1:8">
      <c r="A4" s="8"/>
      <c r="B4" s="47" t="s">
        <v>5</v>
      </c>
      <c r="C4" s="47"/>
      <c r="D4" s="21" t="s">
        <v>6</v>
      </c>
      <c r="E4" s="47" t="s">
        <v>7</v>
      </c>
      <c r="F4" s="47"/>
      <c r="G4" s="50"/>
      <c r="H4" s="51"/>
    </row>
    <row r="5" spans="1:8">
      <c r="A5" s="8"/>
      <c r="B5" s="7"/>
      <c r="C5" s="9"/>
      <c r="D5" s="9"/>
      <c r="E5" s="9"/>
      <c r="F5" s="9"/>
      <c r="G5" s="9"/>
      <c r="H5" s="6"/>
    </row>
    <row r="6" spans="1:8">
      <c r="A6" s="8"/>
      <c r="B6" s="10" t="s">
        <v>8</v>
      </c>
      <c r="C6" s="8"/>
      <c r="D6" s="8"/>
      <c r="E6" s="8"/>
      <c r="F6" s="8"/>
      <c r="G6" s="8"/>
      <c r="H6" s="11" t="s">
        <v>9</v>
      </c>
    </row>
    <row r="7" spans="1:8" ht="31.5">
      <c r="A7" s="8"/>
      <c r="B7" s="22" t="s">
        <v>10</v>
      </c>
      <c r="C7" s="22" t="s">
        <v>11</v>
      </c>
      <c r="D7" s="22" t="s">
        <v>12</v>
      </c>
      <c r="E7" s="22" t="s">
        <v>13</v>
      </c>
      <c r="F7" s="22" t="s">
        <v>14</v>
      </c>
      <c r="G7" s="22" t="s">
        <v>15</v>
      </c>
      <c r="H7" s="22" t="s">
        <v>16</v>
      </c>
    </row>
    <row r="8" spans="1:8">
      <c r="A8" s="8"/>
      <c r="B8" s="23"/>
      <c r="C8" s="24"/>
      <c r="D8" s="25"/>
      <c r="E8" s="26"/>
      <c r="F8" s="27"/>
      <c r="G8" s="23"/>
      <c r="H8" s="28"/>
    </row>
    <row r="9" spans="1:8">
      <c r="A9" s="8"/>
      <c r="B9" s="29"/>
      <c r="C9" s="24"/>
      <c r="D9" s="25"/>
      <c r="E9" s="26"/>
      <c r="F9" s="27"/>
      <c r="G9" s="25"/>
      <c r="H9" s="28"/>
    </row>
    <row r="10" spans="1:8">
      <c r="A10" s="8"/>
      <c r="B10" s="29"/>
      <c r="C10" s="24"/>
      <c r="D10" s="25"/>
      <c r="E10" s="26"/>
      <c r="F10" s="27"/>
      <c r="G10" s="25"/>
      <c r="H10" s="28"/>
    </row>
    <row r="11" spans="1:8">
      <c r="A11" s="8"/>
      <c r="B11" s="29"/>
      <c r="C11" s="24"/>
      <c r="D11" s="25"/>
      <c r="E11" s="26"/>
      <c r="F11" s="27"/>
      <c r="G11" s="25"/>
      <c r="H11" s="28"/>
    </row>
    <row r="12" spans="1:8">
      <c r="A12" s="8"/>
      <c r="B12" s="29"/>
      <c r="C12" s="24"/>
      <c r="D12" s="25"/>
      <c r="E12" s="26"/>
      <c r="F12" s="27"/>
      <c r="G12" s="25"/>
      <c r="H12" s="28"/>
    </row>
    <row r="13" spans="1:8">
      <c r="A13" s="8"/>
      <c r="B13" s="29"/>
      <c r="C13" s="24"/>
      <c r="D13" s="25"/>
      <c r="E13" s="26"/>
      <c r="F13" s="27"/>
      <c r="G13" s="25"/>
      <c r="H13" s="28"/>
    </row>
    <row r="14" spans="1:8">
      <c r="A14" s="8"/>
      <c r="B14" s="29"/>
      <c r="C14" s="24"/>
      <c r="D14" s="25"/>
      <c r="E14" s="26"/>
      <c r="F14" s="27"/>
      <c r="G14" s="25"/>
      <c r="H14" s="28"/>
    </row>
    <row r="15" spans="1:8">
      <c r="A15" s="8"/>
      <c r="B15" s="29"/>
      <c r="C15" s="24"/>
      <c r="D15" s="25"/>
      <c r="E15" s="26"/>
      <c r="F15" s="27"/>
      <c r="G15" s="25"/>
      <c r="H15" s="28"/>
    </row>
    <row r="16" spans="1:8">
      <c r="A16" s="8"/>
      <c r="B16" s="29"/>
      <c r="C16" s="24"/>
      <c r="D16" s="25"/>
      <c r="E16" s="26"/>
      <c r="F16" s="27"/>
      <c r="G16" s="25"/>
      <c r="H16" s="28"/>
    </row>
    <row r="17" spans="1:8">
      <c r="A17" s="8"/>
      <c r="B17" s="29"/>
      <c r="C17" s="24"/>
      <c r="D17" s="25"/>
      <c r="E17" s="26"/>
      <c r="F17" s="27"/>
      <c r="G17" s="25"/>
      <c r="H17" s="28"/>
    </row>
    <row r="18" spans="1:8">
      <c r="A18" s="8"/>
      <c r="B18" s="29"/>
      <c r="C18" s="24"/>
      <c r="D18" s="25"/>
      <c r="E18" s="26"/>
      <c r="F18" s="27"/>
      <c r="G18" s="25"/>
      <c r="H18" s="28"/>
    </row>
    <row r="19" spans="1:8">
      <c r="A19" s="8"/>
      <c r="B19" s="8"/>
      <c r="C19" s="8"/>
      <c r="D19" s="8"/>
      <c r="E19" s="8"/>
      <c r="F19" s="8"/>
      <c r="G19" s="8"/>
      <c r="H19" s="6"/>
    </row>
    <row r="20" spans="1:8">
      <c r="A20" s="8"/>
      <c r="B20" s="8"/>
      <c r="C20" s="8"/>
      <c r="D20" s="8"/>
      <c r="E20" s="8"/>
      <c r="F20" s="8"/>
      <c r="G20" s="8"/>
      <c r="H20" s="6"/>
    </row>
    <row r="21" spans="1:8">
      <c r="A21" s="8"/>
      <c r="B21" s="8"/>
      <c r="C21" s="8"/>
      <c r="D21" s="8"/>
      <c r="E21" s="8"/>
      <c r="F21" s="8"/>
      <c r="G21" s="8"/>
      <c r="H21" s="6"/>
    </row>
    <row r="22" spans="1:8">
      <c r="A22" s="8"/>
      <c r="B22" s="8"/>
      <c r="C22" s="8"/>
      <c r="D22" s="8"/>
      <c r="E22" s="8"/>
      <c r="F22" s="8"/>
      <c r="G22" s="8"/>
      <c r="H22" s="6"/>
    </row>
    <row r="23" spans="1:8">
      <c r="A23" s="8"/>
      <c r="B23" s="8"/>
      <c r="C23" s="8"/>
      <c r="D23" s="8"/>
      <c r="E23" s="8"/>
      <c r="F23" s="8"/>
      <c r="G23" s="8"/>
      <c r="H23" s="6"/>
    </row>
    <row r="24" spans="1:8">
      <c r="A24" s="8"/>
      <c r="B24" s="8"/>
      <c r="C24" s="8"/>
      <c r="D24" s="8"/>
      <c r="E24" s="8"/>
      <c r="F24" s="8"/>
      <c r="G24" s="8"/>
      <c r="H24" s="6"/>
    </row>
    <row r="25" spans="1:8">
      <c r="A25" s="8"/>
      <c r="B25" s="8"/>
      <c r="C25" s="8"/>
      <c r="D25" s="8"/>
      <c r="E25" s="8"/>
      <c r="F25" s="8"/>
      <c r="G25" s="8"/>
      <c r="H25" s="6"/>
    </row>
    <row r="26" spans="1:8">
      <c r="A26" s="8"/>
      <c r="B26" s="8"/>
      <c r="C26" s="8"/>
      <c r="D26" s="8"/>
      <c r="E26" s="8"/>
      <c r="F26" s="8"/>
      <c r="G26" s="8"/>
      <c r="H26" s="6"/>
    </row>
  </sheetData>
  <mergeCells count="6">
    <mergeCell ref="B3:C3"/>
    <mergeCell ref="E3:F3"/>
    <mergeCell ref="G3:H3"/>
    <mergeCell ref="B4:C4"/>
    <mergeCell ref="E4:F4"/>
    <mergeCell ref="G4:H4"/>
  </mergeCells>
  <phoneticPr fontId="12"/>
  <pageMargins left="0.7" right="0.7" top="0.75" bottom="0.75" header="0.3" footer="0.3"/>
  <pageSetup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X42"/>
  <sheetViews>
    <sheetView tabSelected="1" topLeftCell="A2" zoomScale="90" zoomScaleNormal="90" zoomScalePageLayoutView="180" workbookViewId="0">
      <selection activeCell="C43" sqref="A43:XFD54"/>
    </sheetView>
  </sheetViews>
  <sheetFormatPr defaultColWidth="8.5703125" defaultRowHeight="15.75"/>
  <cols>
    <col min="1" max="1" width="4.7109375" style="13" customWidth="1"/>
    <col min="2" max="2" width="16.7109375" style="13" customWidth="1"/>
    <col min="3" max="3" width="13.7109375" style="13" customWidth="1"/>
    <col min="4" max="7" width="10.28515625" style="13" customWidth="1"/>
    <col min="8" max="8" width="10.28515625" style="14" customWidth="1"/>
    <col min="9" max="12" width="10.28515625" style="13" customWidth="1"/>
    <col min="13" max="13" width="10.28515625" style="14" customWidth="1"/>
    <col min="14" max="17" width="10.28515625" style="13" customWidth="1"/>
    <col min="18" max="19" width="8.5703125" style="14"/>
    <col min="20" max="25" width="8.5703125" style="13"/>
    <col min="26" max="26" width="4.7109375" style="13" customWidth="1"/>
    <col min="27" max="27" width="16.7109375" style="13" customWidth="1"/>
    <col min="28" max="28" width="13.7109375" style="13" customWidth="1"/>
    <col min="29" max="49" width="10.28515625" style="13" customWidth="1"/>
    <col min="50" max="16384" width="8.5703125" style="13"/>
  </cols>
  <sheetData>
    <row r="2" spans="1:24">
      <c r="A2" s="40"/>
      <c r="B2" s="40"/>
      <c r="C2" s="41"/>
      <c r="D2" s="62" t="s">
        <v>17</v>
      </c>
      <c r="E2" s="62"/>
      <c r="F2" s="62"/>
      <c r="G2" s="62"/>
      <c r="H2" s="62"/>
      <c r="I2" s="62"/>
      <c r="J2" s="62"/>
      <c r="K2" s="62" t="s">
        <v>32</v>
      </c>
      <c r="L2" s="62"/>
      <c r="M2" s="62"/>
      <c r="N2" s="62"/>
      <c r="O2" s="62"/>
      <c r="P2" s="62"/>
      <c r="Q2" s="62"/>
    </row>
    <row r="3" spans="1:24" ht="47.25">
      <c r="A3" s="71" t="s">
        <v>61</v>
      </c>
      <c r="B3" s="96"/>
      <c r="C3" s="45"/>
      <c r="D3" s="63" t="s">
        <v>18</v>
      </c>
      <c r="E3" s="63" t="s">
        <v>19</v>
      </c>
      <c r="F3" s="63" t="s">
        <v>20</v>
      </c>
      <c r="G3" s="63" t="s">
        <v>21</v>
      </c>
      <c r="H3" s="63" t="s">
        <v>22</v>
      </c>
      <c r="I3" s="63" t="s">
        <v>51</v>
      </c>
      <c r="J3" s="63" t="s">
        <v>52</v>
      </c>
      <c r="K3" s="63" t="s">
        <v>18</v>
      </c>
      <c r="L3" s="63" t="s">
        <v>19</v>
      </c>
      <c r="M3" s="63" t="s">
        <v>20</v>
      </c>
      <c r="N3" s="63" t="s">
        <v>21</v>
      </c>
      <c r="O3" s="63" t="s">
        <v>22</v>
      </c>
      <c r="P3" s="63" t="s">
        <v>51</v>
      </c>
      <c r="Q3" s="63" t="s">
        <v>52</v>
      </c>
    </row>
    <row r="4" spans="1:24">
      <c r="A4" s="64" t="s">
        <v>23</v>
      </c>
      <c r="B4" s="97"/>
      <c r="C4" s="61" t="s">
        <v>70</v>
      </c>
      <c r="D4" s="65">
        <f>D13+I13+N13</f>
        <v>0</v>
      </c>
      <c r="E4" s="65">
        <f>E13+J13+O13</f>
        <v>0</v>
      </c>
      <c r="F4" s="65">
        <f>F13+K13+P13</f>
        <v>0</v>
      </c>
      <c r="G4" s="65">
        <f>G13+L13+Q13</f>
        <v>0</v>
      </c>
      <c r="H4" s="66">
        <f>H13+M13+R13</f>
        <v>3</v>
      </c>
      <c r="I4" s="67">
        <f>ROUND((D4+E4)*100/(H4-G4),2)</f>
        <v>0</v>
      </c>
      <c r="J4" s="67">
        <f>ROUND(D4*100/(H4-G4),2)</f>
        <v>0</v>
      </c>
      <c r="K4" s="68">
        <f>D22+I22+N22</f>
        <v>0</v>
      </c>
      <c r="L4" s="68">
        <f>E22+J22+O22</f>
        <v>0</v>
      </c>
      <c r="M4" s="68">
        <f>F22+K22+P22</f>
        <v>0</v>
      </c>
      <c r="N4" s="68">
        <f>G22+L22+Q22</f>
        <v>0</v>
      </c>
      <c r="O4" s="69">
        <f>H22+M22+R22</f>
        <v>3</v>
      </c>
      <c r="P4" s="70">
        <f>ROUND((K4+L4)*100/(O4-N4),2)</f>
        <v>0</v>
      </c>
      <c r="Q4" s="70">
        <f>ROUND(K4*100/(O4-N4),2)</f>
        <v>0</v>
      </c>
    </row>
    <row r="5" spans="1:24">
      <c r="A5" s="64"/>
      <c r="B5" s="97"/>
      <c r="C5" s="61" t="s">
        <v>71</v>
      </c>
      <c r="D5" s="65">
        <f>D14+I14+N14</f>
        <v>0</v>
      </c>
      <c r="E5" s="65">
        <f>E14+J14+O14</f>
        <v>0</v>
      </c>
      <c r="F5" s="65">
        <f>F14+K14+P14</f>
        <v>0</v>
      </c>
      <c r="G5" s="65">
        <f>G14+L14+Q14</f>
        <v>0</v>
      </c>
      <c r="H5" s="66">
        <f>H14+M14+R14</f>
        <v>3</v>
      </c>
      <c r="I5" s="67">
        <f>ROUND((D5+E5)*100/(H5-G5),2)</f>
        <v>0</v>
      </c>
      <c r="J5" s="67">
        <f>ROUND(D5*100/(H5-G5),2)</f>
        <v>0</v>
      </c>
      <c r="K5" s="68">
        <f>D23+I23+N23</f>
        <v>0</v>
      </c>
      <c r="L5" s="68">
        <f>E23+J23+O23</f>
        <v>0</v>
      </c>
      <c r="M5" s="68">
        <f>F23+K23+P23</f>
        <v>0</v>
      </c>
      <c r="N5" s="68">
        <f>G23+L23+Q23</f>
        <v>0</v>
      </c>
      <c r="O5" s="69">
        <f>H23+M23+R23</f>
        <v>3</v>
      </c>
      <c r="P5" s="70">
        <f>ROUND((K5+L5)*100/(O5-N5),2)</f>
        <v>0</v>
      </c>
      <c r="Q5" s="70">
        <f>ROUND(K5*100/(O5-N5),2)</f>
        <v>0</v>
      </c>
    </row>
    <row r="6" spans="1:24">
      <c r="A6" s="64"/>
      <c r="B6" s="97"/>
      <c r="C6" s="61" t="s">
        <v>72</v>
      </c>
      <c r="D6" s="65">
        <f>D15+I15+N15</f>
        <v>0</v>
      </c>
      <c r="E6" s="65">
        <f>E15+J15+O15</f>
        <v>0</v>
      </c>
      <c r="F6" s="65">
        <f>F15+K15+P15</f>
        <v>0</v>
      </c>
      <c r="G6" s="65">
        <f>G15+L15+Q15</f>
        <v>0</v>
      </c>
      <c r="H6" s="66">
        <f>H15+M15+R15</f>
        <v>3</v>
      </c>
      <c r="I6" s="67">
        <f>ROUND((D6+E6)*100/(H6-G6),2)</f>
        <v>0</v>
      </c>
      <c r="J6" s="67">
        <f>ROUND(D6*100/(H6-G6),2)</f>
        <v>0</v>
      </c>
      <c r="K6" s="68">
        <f>D24+I24+N24</f>
        <v>0</v>
      </c>
      <c r="L6" s="68">
        <f>E24+J24+O24</f>
        <v>0</v>
      </c>
      <c r="M6" s="68">
        <f>F24+K24+P24</f>
        <v>0</v>
      </c>
      <c r="N6" s="68">
        <f>G24+L24+Q24</f>
        <v>0</v>
      </c>
      <c r="O6" s="69">
        <f>H24+M24+R24</f>
        <v>3</v>
      </c>
      <c r="P6" s="70">
        <f>ROUND((K6+L6)*100/(O6-N6),2)</f>
        <v>0</v>
      </c>
      <c r="Q6" s="70">
        <f>ROUND(K6*100/(O6-N6),2)</f>
        <v>0</v>
      </c>
    </row>
    <row r="7" spans="1:24">
      <c r="A7" s="64"/>
      <c r="B7" s="97"/>
      <c r="C7" s="61" t="s">
        <v>73</v>
      </c>
      <c r="D7" s="65">
        <f>D16+I16+N16</f>
        <v>0</v>
      </c>
      <c r="E7" s="65">
        <f>E16+J16+O16</f>
        <v>0</v>
      </c>
      <c r="F7" s="65">
        <f>F16+K16+P16</f>
        <v>0</v>
      </c>
      <c r="G7" s="65">
        <f>G16+L16+Q16</f>
        <v>0</v>
      </c>
      <c r="H7" s="66">
        <f>H16+M16+R16</f>
        <v>3</v>
      </c>
      <c r="I7" s="67">
        <f>ROUND((D7+E7)*100/(H7-G7),2)</f>
        <v>0</v>
      </c>
      <c r="J7" s="67">
        <f>ROUND(D7*100/(H7-G7),2)</f>
        <v>0</v>
      </c>
      <c r="K7" s="68">
        <f>D25+I25+N25</f>
        <v>0</v>
      </c>
      <c r="L7" s="68">
        <f>E25+J25+O25</f>
        <v>0</v>
      </c>
      <c r="M7" s="68">
        <f>F25+K25+P25</f>
        <v>0</v>
      </c>
      <c r="N7" s="68">
        <f>G25+L25+Q25</f>
        <v>0</v>
      </c>
      <c r="O7" s="69">
        <f>H25+M25+R25</f>
        <v>3</v>
      </c>
      <c r="P7" s="70">
        <f>ROUND((K7+L7)*100/(O7-N7),2)</f>
        <v>0</v>
      </c>
      <c r="Q7" s="70">
        <f>ROUND(K7*100/(O7-N7),2)</f>
        <v>0</v>
      </c>
    </row>
    <row r="9" spans="1:24">
      <c r="A9" s="60" t="s">
        <v>69</v>
      </c>
      <c r="B9" s="98"/>
    </row>
    <row r="10" spans="1:24">
      <c r="A10" s="62" t="s">
        <v>53</v>
      </c>
      <c r="B10" s="62"/>
      <c r="C10" s="62"/>
      <c r="D10" s="62" t="s">
        <v>54</v>
      </c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 t="s">
        <v>55</v>
      </c>
      <c r="T10" s="62"/>
      <c r="U10" s="62"/>
      <c r="V10" s="62" t="s">
        <v>62</v>
      </c>
      <c r="W10" s="62"/>
      <c r="X10" s="62"/>
    </row>
    <row r="11" spans="1:24">
      <c r="A11" s="62"/>
      <c r="B11" s="62"/>
      <c r="C11" s="62"/>
      <c r="D11" s="62" t="s">
        <v>24</v>
      </c>
      <c r="E11" s="62"/>
      <c r="F11" s="62"/>
      <c r="G11" s="62"/>
      <c r="H11" s="62"/>
      <c r="I11" s="62" t="s">
        <v>25</v>
      </c>
      <c r="J11" s="62"/>
      <c r="K11" s="62"/>
      <c r="L11" s="62"/>
      <c r="M11" s="62"/>
      <c r="N11" s="62" t="s">
        <v>26</v>
      </c>
      <c r="O11" s="62"/>
      <c r="P11" s="62"/>
      <c r="Q11" s="62"/>
      <c r="R11" s="62"/>
      <c r="S11" s="62" t="s">
        <v>24</v>
      </c>
      <c r="T11" s="62" t="s">
        <v>25</v>
      </c>
      <c r="U11" s="62" t="s">
        <v>26</v>
      </c>
      <c r="V11" s="62" t="s">
        <v>24</v>
      </c>
      <c r="W11" s="62" t="s">
        <v>25</v>
      </c>
      <c r="X11" s="62" t="s">
        <v>26</v>
      </c>
    </row>
    <row r="12" spans="1:24">
      <c r="A12" s="62"/>
      <c r="B12" s="62"/>
      <c r="C12" s="62"/>
      <c r="D12" s="63" t="s">
        <v>18</v>
      </c>
      <c r="E12" s="63" t="s">
        <v>19</v>
      </c>
      <c r="F12" s="63" t="s">
        <v>20</v>
      </c>
      <c r="G12" s="63" t="s">
        <v>21</v>
      </c>
      <c r="H12" s="63" t="s">
        <v>22</v>
      </c>
      <c r="I12" s="63" t="s">
        <v>18</v>
      </c>
      <c r="J12" s="63" t="s">
        <v>19</v>
      </c>
      <c r="K12" s="63" t="s">
        <v>20</v>
      </c>
      <c r="L12" s="63" t="s">
        <v>21</v>
      </c>
      <c r="M12" s="63" t="s">
        <v>22</v>
      </c>
      <c r="N12" s="63" t="s">
        <v>18</v>
      </c>
      <c r="O12" s="63" t="s">
        <v>19</v>
      </c>
      <c r="P12" s="63" t="s">
        <v>20</v>
      </c>
      <c r="Q12" s="63" t="s">
        <v>21</v>
      </c>
      <c r="R12" s="63" t="s">
        <v>22</v>
      </c>
      <c r="S12" s="62"/>
      <c r="T12" s="62"/>
      <c r="U12" s="62"/>
      <c r="V12" s="62"/>
      <c r="W12" s="62"/>
      <c r="X12" s="62"/>
    </row>
    <row r="13" spans="1:24">
      <c r="A13" s="64" t="s">
        <v>23</v>
      </c>
      <c r="B13" s="97"/>
      <c r="C13" s="61" t="str">
        <f>C4</f>
        <v>EV1</v>
      </c>
      <c r="D13" s="72">
        <f>SUMIF(C31:C34,C13,D31:D34)</f>
        <v>0</v>
      </c>
      <c r="E13" s="72">
        <f>SUMIF(C31:C34,C13,E31:E34)</f>
        <v>0</v>
      </c>
      <c r="F13" s="72">
        <f>SUMIF(C31:C34,C13,F31:F34)</f>
        <v>0</v>
      </c>
      <c r="G13" s="72">
        <f>SUMIF(C31:C34,C13,G31:G34)</f>
        <v>0</v>
      </c>
      <c r="H13" s="73">
        <f>SUMIF(C31:C34,C13,H31:H34)</f>
        <v>1</v>
      </c>
      <c r="I13" s="74">
        <f>SUMIF(C31:C34,C13,I31:I34)</f>
        <v>0</v>
      </c>
      <c r="J13" s="74">
        <f>SUMIF(C31:C34,C13,J31:J34)</f>
        <v>0</v>
      </c>
      <c r="K13" s="74">
        <f>SUMIF(C31:C34,C13,K31:K34)</f>
        <v>0</v>
      </c>
      <c r="L13" s="74">
        <f>SUMIF(C31:C34,C13,L31:L34)</f>
        <v>0</v>
      </c>
      <c r="M13" s="75">
        <f>SUMIF(C31:C34,C13,M31:M34)</f>
        <v>1</v>
      </c>
      <c r="N13" s="76">
        <f>SUMIF(C31:C34,C13,N31:N34)</f>
        <v>0</v>
      </c>
      <c r="O13" s="76">
        <f>SUMIF(C31:C34,C13,O31:O34)</f>
        <v>0</v>
      </c>
      <c r="P13" s="76">
        <f>SUMIF(C31:C34,C13,P31:P34)</f>
        <v>0</v>
      </c>
      <c r="Q13" s="76">
        <f>SUMIF(C31:C34,C13,Q31:Q34)</f>
        <v>0</v>
      </c>
      <c r="R13" s="77">
        <f>SUMIF(C31:C34,C13,R31:R34)</f>
        <v>1</v>
      </c>
      <c r="S13" s="78">
        <f>ROUND((D13+E13)*100/(H13-G13),2)</f>
        <v>0</v>
      </c>
      <c r="T13" s="61">
        <f>ROUND((I13+J13)*100/(M13-L13),2)</f>
        <v>0</v>
      </c>
      <c r="U13" s="61">
        <f>ROUND((N13+O13)*100/(R13-Q13),2)</f>
        <v>0</v>
      </c>
      <c r="V13" s="78">
        <f>ROUND(D13*100/(H13-G13),2)</f>
        <v>0</v>
      </c>
      <c r="W13" s="61">
        <f>ROUND(I13*100/(M13-L13),2)</f>
        <v>0</v>
      </c>
      <c r="X13" s="61">
        <f>ROUND(N13*100/(R13-Q13),2)</f>
        <v>0</v>
      </c>
    </row>
    <row r="14" spans="1:24">
      <c r="A14" s="64"/>
      <c r="B14" s="97"/>
      <c r="C14" s="61" t="str">
        <f>C5</f>
        <v>EV2</v>
      </c>
      <c r="D14" s="72">
        <f>SUMIF(C31:C34,C14,D31:D34)</f>
        <v>0</v>
      </c>
      <c r="E14" s="72">
        <f>SUMIF(C31:C34,C14,E31:E34)</f>
        <v>0</v>
      </c>
      <c r="F14" s="72">
        <f>SUMIF(C31:C34,C14,F31:F34)</f>
        <v>0</v>
      </c>
      <c r="G14" s="72">
        <f>SUMIF(C31:C34,C14,G31:G34)</f>
        <v>0</v>
      </c>
      <c r="H14" s="73">
        <f>SUMIF(C31:C34,C14,H31:H34)</f>
        <v>1</v>
      </c>
      <c r="I14" s="74">
        <f>SUMIF(C31:C34,C14,I31:I34)</f>
        <v>0</v>
      </c>
      <c r="J14" s="74">
        <f>SUMIF(C31:C34,C14,J31:J34)</f>
        <v>0</v>
      </c>
      <c r="K14" s="74">
        <f>SUMIF(C31:C34,C14,K31:K34)</f>
        <v>0</v>
      </c>
      <c r="L14" s="74">
        <f>SUMIF(C31:C34,C14,L31:L34)</f>
        <v>0</v>
      </c>
      <c r="M14" s="75">
        <f>SUMIF(C31:C34,C14,M31:M34)</f>
        <v>1</v>
      </c>
      <c r="N14" s="76">
        <f>SUMIF(C31:C34,C14,N31:N34)</f>
        <v>0</v>
      </c>
      <c r="O14" s="76">
        <f>SUMIF(C31:C34,C14,O31:O34)</f>
        <v>0</v>
      </c>
      <c r="P14" s="76">
        <f>SUMIF(C31:C34,C14,P31:P34)</f>
        <v>0</v>
      </c>
      <c r="Q14" s="76">
        <f>SUMIF(C31:C34,C14,Q31:Q34)</f>
        <v>0</v>
      </c>
      <c r="R14" s="77">
        <f>SUMIF(C31:C34,C14,R31:R34)</f>
        <v>1</v>
      </c>
      <c r="S14" s="78">
        <f>ROUND((D14+E14)*100/(H14-G14),2)</f>
        <v>0</v>
      </c>
      <c r="T14" s="61">
        <f>ROUND((I14+J14)*100/(M14-L14),2)</f>
        <v>0</v>
      </c>
      <c r="U14" s="61">
        <f>ROUND((N14+O14)*100/(R14-Q14),2)</f>
        <v>0</v>
      </c>
      <c r="V14" s="78">
        <f>ROUND(D14*100/(H14-G14),2)</f>
        <v>0</v>
      </c>
      <c r="W14" s="61">
        <f>ROUND(I14*100/(M14-L14),2)</f>
        <v>0</v>
      </c>
      <c r="X14" s="61">
        <f>ROUND(N14*100/(R14-Q14),2)</f>
        <v>0</v>
      </c>
    </row>
    <row r="15" spans="1:24">
      <c r="A15" s="64"/>
      <c r="B15" s="97"/>
      <c r="C15" s="61" t="str">
        <f>C6</f>
        <v>EV3</v>
      </c>
      <c r="D15" s="72">
        <f>SUMIF(C31:C34,C15,D31:D34)</f>
        <v>0</v>
      </c>
      <c r="E15" s="72">
        <f>SUMIF(C31:C34,C15,E31:E34)</f>
        <v>0</v>
      </c>
      <c r="F15" s="72">
        <f>SUMIF(C31:C34,C15,F31:F34)</f>
        <v>0</v>
      </c>
      <c r="G15" s="72">
        <f>SUMIF(C31:C34,C15,G31:G34)</f>
        <v>0</v>
      </c>
      <c r="H15" s="73">
        <f>SUMIF(C31:C34,C15,H31:H34)</f>
        <v>1</v>
      </c>
      <c r="I15" s="74">
        <f>SUMIF(C31:C34,C15,I31:I34)</f>
        <v>0</v>
      </c>
      <c r="J15" s="74">
        <f>SUMIF(C31:C34,C15,J31:J34)</f>
        <v>0</v>
      </c>
      <c r="K15" s="74">
        <f>SUMIF(C31:C34,C15,K31:K34)</f>
        <v>0</v>
      </c>
      <c r="L15" s="74">
        <f>SUMIF(C31:C34,C15,L31:L34)</f>
        <v>0</v>
      </c>
      <c r="M15" s="75">
        <f>SUMIF(C31:C34,C15,M31:M34)</f>
        <v>1</v>
      </c>
      <c r="N15" s="76">
        <f>SUMIF(C31:C34,C15,N31:N34)</f>
        <v>0</v>
      </c>
      <c r="O15" s="76">
        <f>SUMIF(C31:C34,C15,O31:O34)</f>
        <v>0</v>
      </c>
      <c r="P15" s="76">
        <f>SUMIF(C31:C34,C15,P31:P34)</f>
        <v>0</v>
      </c>
      <c r="Q15" s="76">
        <f>SUMIF(C31:C34,C15,Q31:Q34)</f>
        <v>0</v>
      </c>
      <c r="R15" s="77">
        <f>SUMIF(C31:C34,C15,R31:R34)</f>
        <v>1</v>
      </c>
      <c r="S15" s="78">
        <f>ROUND((D15+E15)*100/(H15-G15),2)</f>
        <v>0</v>
      </c>
      <c r="T15" s="61">
        <f>ROUND((I15+J15)*100/(M15-L15),2)</f>
        <v>0</v>
      </c>
      <c r="U15" s="61">
        <f>ROUND((N15+O15)*100/(R15-Q15),2)</f>
        <v>0</v>
      </c>
      <c r="V15" s="78">
        <f>ROUND(D15*100/(H15-G15),2)</f>
        <v>0</v>
      </c>
      <c r="W15" s="61">
        <f>ROUND(I15*100/(M15-L15),2)</f>
        <v>0</v>
      </c>
      <c r="X15" s="61">
        <f>ROUND(N15*100/(R15-Q15),2)</f>
        <v>0</v>
      </c>
    </row>
    <row r="16" spans="1:24">
      <c r="A16" s="64"/>
      <c r="B16" s="97"/>
      <c r="C16" s="61" t="str">
        <f>C7</f>
        <v>EV4</v>
      </c>
      <c r="D16" s="72">
        <f>SUMIF(C31:C34,C16,D31:D34)</f>
        <v>0</v>
      </c>
      <c r="E16" s="72">
        <f>SUMIF(C31:C34,C16,E31:E34)</f>
        <v>0</v>
      </c>
      <c r="F16" s="72">
        <f>SUMIF(C31:C34,C16,F31:F34)</f>
        <v>0</v>
      </c>
      <c r="G16" s="72">
        <f>SUMIF(C31:C34,C16,G31:G34)</f>
        <v>0</v>
      </c>
      <c r="H16" s="73">
        <f>SUMIF(C31:C34,C16,H31:H34)</f>
        <v>1</v>
      </c>
      <c r="I16" s="74">
        <f>SUMIF(C31:C34,C16,I31:I34)</f>
        <v>0</v>
      </c>
      <c r="J16" s="74">
        <f>SUMIF(C31:C34,C16,J31:J34)</f>
        <v>0</v>
      </c>
      <c r="K16" s="74">
        <f>SUMIF(C31:C34,C16,K31:K34)</f>
        <v>0</v>
      </c>
      <c r="L16" s="74">
        <f>SUMIF(C31:C34,C16,L31:L34)</f>
        <v>0</v>
      </c>
      <c r="M16" s="75">
        <f>SUMIF(C31:C34,C16,M31:M34)</f>
        <v>1</v>
      </c>
      <c r="N16" s="76">
        <f>SUMIF(C31:C34,C16,N31:N34)</f>
        <v>0</v>
      </c>
      <c r="O16" s="76">
        <f>SUMIF(C31:C34,C16,O31:O34)</f>
        <v>0</v>
      </c>
      <c r="P16" s="76">
        <f>SUMIF(C31:C34,C16,P31:P34)</f>
        <v>0</v>
      </c>
      <c r="Q16" s="76">
        <f>SUMIF(C31:C34,C16,Q31:Q34)</f>
        <v>0</v>
      </c>
      <c r="R16" s="77">
        <f>SUMIF(C31:C34,C16,R31:R34)</f>
        <v>1</v>
      </c>
      <c r="S16" s="78">
        <f>ROUND((D16+E16)*100/(H16-G16),2)</f>
        <v>0</v>
      </c>
      <c r="T16" s="61">
        <f>ROUND((I16+J16)*100/(M16-L16),2)</f>
        <v>0</v>
      </c>
      <c r="U16" s="61">
        <f>ROUND((N16+O16)*100/(R16-Q16),2)</f>
        <v>0</v>
      </c>
      <c r="V16" s="78">
        <f>ROUND(D16*100/(H16-G16),2)</f>
        <v>0</v>
      </c>
      <c r="W16" s="61">
        <f>ROUND(I16*100/(M16-L16),2)</f>
        <v>0</v>
      </c>
      <c r="X16" s="61">
        <f>ROUND(N16*100/(R16-Q16),2)</f>
        <v>0</v>
      </c>
    </row>
    <row r="17" spans="1:24">
      <c r="A17" s="79" t="s">
        <v>56</v>
      </c>
      <c r="B17" s="79"/>
      <c r="C17" s="79"/>
      <c r="D17" s="80">
        <f>SUM(D13:D16)</f>
        <v>0</v>
      </c>
      <c r="E17" s="80">
        <f>SUM(E13:E16)</f>
        <v>0</v>
      </c>
      <c r="F17" s="80">
        <f>SUM(F13:F16)</f>
        <v>0</v>
      </c>
      <c r="G17" s="80">
        <f>SUM(G13:G16)</f>
        <v>0</v>
      </c>
      <c r="H17" s="80">
        <f>SUM(H13:H16)</f>
        <v>4</v>
      </c>
      <c r="I17" s="80">
        <f>SUM(I13:I16)</f>
        <v>0</v>
      </c>
      <c r="J17" s="80">
        <f>SUM(J13:J16)</f>
        <v>0</v>
      </c>
      <c r="K17" s="80">
        <f>SUM(K13:K16)</f>
        <v>0</v>
      </c>
      <c r="L17" s="80">
        <f>SUM(L13:L16)</f>
        <v>0</v>
      </c>
      <c r="M17" s="80">
        <f>SUM(M13:M16)</f>
        <v>4</v>
      </c>
      <c r="N17" s="80">
        <f>SUM(N13:N16)</f>
        <v>0</v>
      </c>
      <c r="O17" s="80">
        <f>SUM(O13:O16)</f>
        <v>0</v>
      </c>
      <c r="P17" s="80">
        <f>SUM(P13:P16)</f>
        <v>0</v>
      </c>
      <c r="Q17" s="80">
        <f>SUM(Q13:Q16)</f>
        <v>0</v>
      </c>
      <c r="R17" s="80">
        <f>SUM(R13:R16)</f>
        <v>4</v>
      </c>
      <c r="S17" s="80">
        <f>ROUND(AVERAGE(S13:S16),2)</f>
        <v>0</v>
      </c>
      <c r="T17" s="80">
        <f>ROUND(AVERAGE(T13:T16),2)</f>
        <v>0</v>
      </c>
      <c r="U17" s="80">
        <f>ROUND(AVERAGE(U13:U16),2)</f>
        <v>0</v>
      </c>
      <c r="V17" s="80">
        <f>ROUND(AVERAGE(V13:V16),2)</f>
        <v>0</v>
      </c>
      <c r="W17" s="80">
        <f>ROUND(AVERAGE(W13:W16),2)</f>
        <v>0</v>
      </c>
      <c r="X17" s="80">
        <f>ROUND(AVERAGE(X13:X16),2)</f>
        <v>0</v>
      </c>
    </row>
    <row r="19" spans="1:24">
      <c r="A19" s="62" t="s">
        <v>32</v>
      </c>
      <c r="B19" s="62"/>
      <c r="C19" s="62"/>
      <c r="D19" s="62" t="s">
        <v>54</v>
      </c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 t="s">
        <v>55</v>
      </c>
      <c r="T19" s="62"/>
      <c r="U19" s="62"/>
      <c r="V19" s="62" t="s">
        <v>62</v>
      </c>
      <c r="W19" s="62"/>
      <c r="X19" s="62"/>
    </row>
    <row r="20" spans="1:24">
      <c r="A20" s="62"/>
      <c r="B20" s="62"/>
      <c r="C20" s="62"/>
      <c r="D20" s="62" t="s">
        <v>24</v>
      </c>
      <c r="E20" s="62"/>
      <c r="F20" s="62"/>
      <c r="G20" s="62"/>
      <c r="H20" s="62"/>
      <c r="I20" s="62" t="s">
        <v>25</v>
      </c>
      <c r="J20" s="62"/>
      <c r="K20" s="62"/>
      <c r="L20" s="62"/>
      <c r="M20" s="62"/>
      <c r="N20" s="62" t="s">
        <v>26</v>
      </c>
      <c r="O20" s="62"/>
      <c r="P20" s="62"/>
      <c r="Q20" s="62"/>
      <c r="R20" s="62"/>
      <c r="S20" s="62" t="s">
        <v>24</v>
      </c>
      <c r="T20" s="62" t="s">
        <v>25</v>
      </c>
      <c r="U20" s="62" t="s">
        <v>26</v>
      </c>
      <c r="V20" s="62" t="s">
        <v>24</v>
      </c>
      <c r="W20" s="62" t="s">
        <v>25</v>
      </c>
      <c r="X20" s="62" t="s">
        <v>26</v>
      </c>
    </row>
    <row r="21" spans="1:24">
      <c r="A21" s="62"/>
      <c r="B21" s="62"/>
      <c r="C21" s="62"/>
      <c r="D21" s="63" t="s">
        <v>18</v>
      </c>
      <c r="E21" s="63" t="s">
        <v>19</v>
      </c>
      <c r="F21" s="63" t="s">
        <v>20</v>
      </c>
      <c r="G21" s="63" t="s">
        <v>21</v>
      </c>
      <c r="H21" s="63" t="s">
        <v>22</v>
      </c>
      <c r="I21" s="63" t="s">
        <v>18</v>
      </c>
      <c r="J21" s="63" t="s">
        <v>19</v>
      </c>
      <c r="K21" s="63" t="s">
        <v>20</v>
      </c>
      <c r="L21" s="63" t="s">
        <v>21</v>
      </c>
      <c r="M21" s="63" t="s">
        <v>22</v>
      </c>
      <c r="N21" s="63" t="s">
        <v>18</v>
      </c>
      <c r="O21" s="63" t="s">
        <v>19</v>
      </c>
      <c r="P21" s="63" t="s">
        <v>20</v>
      </c>
      <c r="Q21" s="63" t="s">
        <v>21</v>
      </c>
      <c r="R21" s="63" t="s">
        <v>22</v>
      </c>
      <c r="S21" s="62"/>
      <c r="T21" s="62"/>
      <c r="U21" s="62"/>
      <c r="V21" s="62"/>
      <c r="W21" s="62"/>
      <c r="X21" s="62"/>
    </row>
    <row r="22" spans="1:24">
      <c r="A22" s="64" t="s">
        <v>23</v>
      </c>
      <c r="B22" s="97"/>
      <c r="C22" s="61" t="str">
        <f>C4</f>
        <v>EV1</v>
      </c>
      <c r="D22" s="72">
        <f>SUMIF(C39:C42,C22,D39:D42)</f>
        <v>0</v>
      </c>
      <c r="E22" s="72">
        <f>SUMIF(C39:C42,C22,E39:E42)</f>
        <v>0</v>
      </c>
      <c r="F22" s="72">
        <f>SUMIF(C39:C42,C22,F39:F42)</f>
        <v>0</v>
      </c>
      <c r="G22" s="72">
        <f>SUMIF(C39:C42,C22,G39:G42)</f>
        <v>0</v>
      </c>
      <c r="H22" s="73">
        <f>SUMIF(C39:C42,C22,H39:H42)</f>
        <v>1</v>
      </c>
      <c r="I22" s="74">
        <f>SUMIF(C39:C42,C22,I39:I42)</f>
        <v>0</v>
      </c>
      <c r="J22" s="74">
        <f>SUMIF(C39:C42,C22,J39:J42)</f>
        <v>0</v>
      </c>
      <c r="K22" s="74">
        <f>SUMIF(C39:C42,C22,K39:K42)</f>
        <v>0</v>
      </c>
      <c r="L22" s="74">
        <f>SUMIF(C39:C42,C22,L39:L42)</f>
        <v>0</v>
      </c>
      <c r="M22" s="75">
        <f>SUMIF(C39:C42,C22,M39:M42)</f>
        <v>1</v>
      </c>
      <c r="N22" s="76">
        <f>SUMIF(C39:C42,C22,N39:N42)</f>
        <v>0</v>
      </c>
      <c r="O22" s="76">
        <f>SUMIF(C39:C42,C22,O39:O42)</f>
        <v>0</v>
      </c>
      <c r="P22" s="76">
        <f>SUMIF(C39:C42,C22,P39:P42)</f>
        <v>0</v>
      </c>
      <c r="Q22" s="76">
        <f>SUMIF(C39:C42,C22,Q39:Q42)</f>
        <v>0</v>
      </c>
      <c r="R22" s="77">
        <f>SUMIF(C39:C42,C22,R39:R42)</f>
        <v>1</v>
      </c>
      <c r="S22" s="78">
        <f>ROUND((D22+E22)*100/(H22-G22),2)</f>
        <v>0</v>
      </c>
      <c r="T22" s="61">
        <f>ROUND((I22+J22)*100/(M22-L22),2)</f>
        <v>0</v>
      </c>
      <c r="U22" s="61">
        <f>ROUND((N22+O22)*100/(R22-Q22),2)</f>
        <v>0</v>
      </c>
      <c r="V22" s="78">
        <f>ROUND(D22*100/(H22-G22),2)</f>
        <v>0</v>
      </c>
      <c r="W22" s="61">
        <f>ROUND(I22*100/(M22-L22),2)</f>
        <v>0</v>
      </c>
      <c r="X22" s="61">
        <f>ROUND(N22*100/(R22-Q22),2)</f>
        <v>0</v>
      </c>
    </row>
    <row r="23" spans="1:24">
      <c r="A23" s="64"/>
      <c r="B23" s="97"/>
      <c r="C23" s="61" t="str">
        <f>C5</f>
        <v>EV2</v>
      </c>
      <c r="D23" s="72">
        <f>SUMIF(C39:C42,C23,D39:D42)</f>
        <v>0</v>
      </c>
      <c r="E23" s="72">
        <f>SUMIF(C39:C42,C23,E39:E42)</f>
        <v>0</v>
      </c>
      <c r="F23" s="72">
        <f>SUMIF(C39:C42,C23,F39:F42)</f>
        <v>0</v>
      </c>
      <c r="G23" s="72">
        <f>SUMIF(C39:C42,C23,G39:G42)</f>
        <v>0</v>
      </c>
      <c r="H23" s="73">
        <f>SUMIF(C39:C42,C23,H39:H42)</f>
        <v>1</v>
      </c>
      <c r="I23" s="74">
        <f>SUMIF(C39:C42,C23,I39:I42)</f>
        <v>0</v>
      </c>
      <c r="J23" s="74">
        <f>SUMIF(C39:C42,C23,J39:J42)</f>
        <v>0</v>
      </c>
      <c r="K23" s="74">
        <f>SUMIF(C39:C42,C23,K39:K42)</f>
        <v>0</v>
      </c>
      <c r="L23" s="74">
        <f>SUMIF(C39:C42,C23,L39:L42)</f>
        <v>0</v>
      </c>
      <c r="M23" s="75">
        <f>SUMIF(C39:C42,C23,M39:M42)</f>
        <v>1</v>
      </c>
      <c r="N23" s="76">
        <f>SUMIF(C39:C42,C23,N39:N42)</f>
        <v>0</v>
      </c>
      <c r="O23" s="76">
        <f>SUMIF(C39:C42,C23,O39:O42)</f>
        <v>0</v>
      </c>
      <c r="P23" s="76">
        <f>SUMIF(C39:C42,C23,P39:P42)</f>
        <v>0</v>
      </c>
      <c r="Q23" s="76">
        <f>SUMIF(C39:C42,C23,Q39:Q42)</f>
        <v>0</v>
      </c>
      <c r="R23" s="77">
        <f>SUMIF(C39:C42,C23,R39:R42)</f>
        <v>1</v>
      </c>
      <c r="S23" s="78">
        <f>ROUND((D23+E23)*100/(H23-G23),2)</f>
        <v>0</v>
      </c>
      <c r="T23" s="61">
        <f>ROUND((I23+J23)*100/(M23-L23),2)</f>
        <v>0</v>
      </c>
      <c r="U23" s="61">
        <f>ROUND((N23+O23)*100/(R23-Q23),2)</f>
        <v>0</v>
      </c>
      <c r="V23" s="78">
        <f>ROUND(D23*100/(H23-G23),2)</f>
        <v>0</v>
      </c>
      <c r="W23" s="61">
        <f>ROUND(I23*100/(M23-L23),2)</f>
        <v>0</v>
      </c>
      <c r="X23" s="61">
        <f>ROUND(N23*100/(R23-Q23),2)</f>
        <v>0</v>
      </c>
    </row>
    <row r="24" spans="1:24">
      <c r="A24" s="64"/>
      <c r="B24" s="97"/>
      <c r="C24" s="61" t="str">
        <f>C6</f>
        <v>EV3</v>
      </c>
      <c r="D24" s="72">
        <f>SUMIF(C39:C42,C24,D39:D42)</f>
        <v>0</v>
      </c>
      <c r="E24" s="72">
        <f>SUMIF(C39:C42,C24,E39:E42)</f>
        <v>0</v>
      </c>
      <c r="F24" s="72">
        <f>SUMIF(C39:C42,C24,F39:F42)</f>
        <v>0</v>
      </c>
      <c r="G24" s="72">
        <f>SUMIF(C39:C42,C24,G39:G42)</f>
        <v>0</v>
      </c>
      <c r="H24" s="73">
        <f>SUMIF(C39:C42,C24,H39:H42)</f>
        <v>1</v>
      </c>
      <c r="I24" s="74">
        <f>SUMIF(C39:C42,C24,I39:I42)</f>
        <v>0</v>
      </c>
      <c r="J24" s="74">
        <f>SUMIF(C39:C42,C24,J39:J42)</f>
        <v>0</v>
      </c>
      <c r="K24" s="74">
        <f>SUMIF(C39:C42,C24,K39:K42)</f>
        <v>0</v>
      </c>
      <c r="L24" s="74">
        <f>SUMIF(C39:C42,C24,L39:L42)</f>
        <v>0</v>
      </c>
      <c r="M24" s="75">
        <f>SUMIF(C39:C42,C24,M39:M42)</f>
        <v>1</v>
      </c>
      <c r="N24" s="76">
        <f>SUMIF(C39:C42,C24,N39:N42)</f>
        <v>0</v>
      </c>
      <c r="O24" s="76">
        <f>SUMIF(C39:C42,C24,O39:O42)</f>
        <v>0</v>
      </c>
      <c r="P24" s="76">
        <f>SUMIF(C39:C42,C24,P39:P42)</f>
        <v>0</v>
      </c>
      <c r="Q24" s="76">
        <f>SUMIF(C39:C42,C24,Q39:Q42)</f>
        <v>0</v>
      </c>
      <c r="R24" s="77">
        <f>SUMIF(C39:C42,C24,R39:R42)</f>
        <v>1</v>
      </c>
      <c r="S24" s="78">
        <f>ROUND((D24+E24)*100/(H24-G24),2)</f>
        <v>0</v>
      </c>
      <c r="T24" s="61">
        <f>ROUND((I24+J24)*100/(M24-L24),2)</f>
        <v>0</v>
      </c>
      <c r="U24" s="61">
        <f>ROUND((N24+O24)*100/(R24-Q24),2)</f>
        <v>0</v>
      </c>
      <c r="V24" s="78">
        <f>ROUND(D24*100/(H24-G24),2)</f>
        <v>0</v>
      </c>
      <c r="W24" s="61">
        <f>ROUND(I24*100/(M24-L24),2)</f>
        <v>0</v>
      </c>
      <c r="X24" s="61">
        <f>ROUND(N24*100/(R24-Q24),2)</f>
        <v>0</v>
      </c>
    </row>
    <row r="25" spans="1:24">
      <c r="A25" s="64"/>
      <c r="B25" s="97"/>
      <c r="C25" s="61" t="str">
        <f>C7</f>
        <v>EV4</v>
      </c>
      <c r="D25" s="72">
        <f>SUMIF(C39:C42,C25,D39:D42)</f>
        <v>0</v>
      </c>
      <c r="E25" s="72">
        <f>SUMIF(C39:C42,C25,E39:E42)</f>
        <v>0</v>
      </c>
      <c r="F25" s="72">
        <f>SUMIF(C39:C42,C25,F39:F42)</f>
        <v>0</v>
      </c>
      <c r="G25" s="72">
        <f>SUMIF(C39:C42,C25,G39:G42)</f>
        <v>0</v>
      </c>
      <c r="H25" s="73">
        <f>SUMIF(C39:C42,C25,H39:H42)</f>
        <v>1</v>
      </c>
      <c r="I25" s="74">
        <f>SUMIF(C39:C42,C25,I39:I42)</f>
        <v>0</v>
      </c>
      <c r="J25" s="74">
        <f>SUMIF(C39:C42,C25,J39:J42)</f>
        <v>0</v>
      </c>
      <c r="K25" s="74">
        <f>SUMIF(C39:C42,C25,K39:K42)</f>
        <v>0</v>
      </c>
      <c r="L25" s="74">
        <f>SUMIF(C39:C42,C25,L39:L42)</f>
        <v>0</v>
      </c>
      <c r="M25" s="75">
        <f>SUMIF(C39:C42,C25,M39:M42)</f>
        <v>1</v>
      </c>
      <c r="N25" s="76">
        <f>SUMIF(C39:C42,C25,N39:N42)</f>
        <v>0</v>
      </c>
      <c r="O25" s="76">
        <f>SUMIF(C39:C42,C25,O39:O42)</f>
        <v>0</v>
      </c>
      <c r="P25" s="76">
        <f>SUMIF(C39:C42,C25,P39:P42)</f>
        <v>0</v>
      </c>
      <c r="Q25" s="76">
        <f>SUMIF(C39:C42,C25,Q39:Q42)</f>
        <v>0</v>
      </c>
      <c r="R25" s="77">
        <f>SUMIF(C39:C42,C25,R39:R42)</f>
        <v>1</v>
      </c>
      <c r="S25" s="78">
        <f>ROUND((D25+E25)*100/(H25-G25),2)</f>
        <v>0</v>
      </c>
      <c r="T25" s="61">
        <f>ROUND((I25+J25)*100/(M25-L25),2)</f>
        <v>0</v>
      </c>
      <c r="U25" s="61">
        <f>ROUND((N25+O25)*100/(R25-Q25),2)</f>
        <v>0</v>
      </c>
      <c r="V25" s="78">
        <f>ROUND(D25*100/(H25-G25),2)</f>
        <v>0</v>
      </c>
      <c r="W25" s="61">
        <f>ROUND(I25*100/(M25-L25),2)</f>
        <v>0</v>
      </c>
      <c r="X25" s="61">
        <f>ROUND(N25*100/(R25-Q25),2)</f>
        <v>0</v>
      </c>
    </row>
    <row r="26" spans="1:24">
      <c r="A26" s="79" t="s">
        <v>56</v>
      </c>
      <c r="B26" s="79"/>
      <c r="C26" s="79"/>
      <c r="D26" s="80">
        <f>SUM(D22:D25)</f>
        <v>0</v>
      </c>
      <c r="E26" s="80">
        <f>SUM(E22:E25)</f>
        <v>0</v>
      </c>
      <c r="F26" s="80">
        <f>SUM(F22:F25)</f>
        <v>0</v>
      </c>
      <c r="G26" s="80">
        <f>SUM(G22:G25)</f>
        <v>0</v>
      </c>
      <c r="H26" s="80">
        <f>SUM(H22:H25)</f>
        <v>4</v>
      </c>
      <c r="I26" s="80">
        <f>SUM(I22:I25)</f>
        <v>0</v>
      </c>
      <c r="J26" s="80">
        <f>SUM(J22:J25)</f>
        <v>0</v>
      </c>
      <c r="K26" s="80">
        <f>SUM(K22:K25)</f>
        <v>0</v>
      </c>
      <c r="L26" s="80">
        <f>SUM(L22:L25)</f>
        <v>0</v>
      </c>
      <c r="M26" s="80">
        <f>SUM(M22:M25)</f>
        <v>4</v>
      </c>
      <c r="N26" s="80">
        <f>SUM(N22:N25)</f>
        <v>0</v>
      </c>
      <c r="O26" s="80">
        <f>SUM(O22:O25)</f>
        <v>0</v>
      </c>
      <c r="P26" s="80">
        <f>SUM(P22:P25)</f>
        <v>0</v>
      </c>
      <c r="Q26" s="80">
        <f>SUM(Q22:Q25)</f>
        <v>0</v>
      </c>
      <c r="R26" s="80">
        <f>SUM(R22:R25)</f>
        <v>4</v>
      </c>
      <c r="S26" s="80">
        <f>ROUND(AVERAGE(S22:S25),2)</f>
        <v>0</v>
      </c>
      <c r="T26" s="80">
        <f>ROUND(AVERAGE(T22:T25),2)</f>
        <v>0</v>
      </c>
      <c r="U26" s="80">
        <f>ROUND(AVERAGE(U22:U25),2)</f>
        <v>0</v>
      </c>
      <c r="V26" s="80">
        <f>ROUND(AVERAGE(V22:V25),2)</f>
        <v>0</v>
      </c>
      <c r="W26" s="80">
        <f>ROUND(AVERAGE(W22:W25),2)</f>
        <v>0</v>
      </c>
      <c r="X26" s="80">
        <f>ROUND(AVERAGE(X22:X25),2)</f>
        <v>0</v>
      </c>
    </row>
    <row r="28" spans="1:24">
      <c r="A28" s="60" t="s">
        <v>63</v>
      </c>
      <c r="B28" s="98"/>
    </row>
    <row r="29" spans="1:24">
      <c r="A29" s="99"/>
      <c r="B29" s="99"/>
      <c r="C29" s="95"/>
      <c r="D29" s="83" t="s">
        <v>24</v>
      </c>
      <c r="E29" s="83"/>
      <c r="F29" s="83"/>
      <c r="G29" s="83"/>
      <c r="H29" s="83"/>
      <c r="I29" s="83" t="s">
        <v>25</v>
      </c>
      <c r="J29" s="83"/>
      <c r="K29" s="83"/>
      <c r="L29" s="83"/>
      <c r="M29" s="83"/>
      <c r="N29" s="83" t="s">
        <v>26</v>
      </c>
      <c r="O29" s="83"/>
      <c r="P29" s="83"/>
      <c r="Q29" s="83"/>
      <c r="R29" s="83"/>
      <c r="S29" s="83" t="s">
        <v>59</v>
      </c>
      <c r="T29" s="83" t="s">
        <v>60</v>
      </c>
      <c r="U29" s="83" t="s">
        <v>27</v>
      </c>
      <c r="V29" s="83" t="s">
        <v>28</v>
      </c>
      <c r="W29" s="100"/>
      <c r="X29" s="101"/>
    </row>
    <row r="30" spans="1:24" ht="31.5">
      <c r="A30" s="84" t="s">
        <v>57</v>
      </c>
      <c r="B30" s="85" t="s">
        <v>58</v>
      </c>
      <c r="C30" s="85" t="s">
        <v>23</v>
      </c>
      <c r="D30" s="85" t="s">
        <v>18</v>
      </c>
      <c r="E30" s="85" t="s">
        <v>19</v>
      </c>
      <c r="F30" s="85" t="s">
        <v>20</v>
      </c>
      <c r="G30" s="85" t="s">
        <v>21</v>
      </c>
      <c r="H30" s="85" t="s">
        <v>22</v>
      </c>
      <c r="I30" s="85" t="s">
        <v>18</v>
      </c>
      <c r="J30" s="85" t="s">
        <v>19</v>
      </c>
      <c r="K30" s="85" t="s">
        <v>20</v>
      </c>
      <c r="L30" s="85" t="s">
        <v>21</v>
      </c>
      <c r="M30" s="85" t="s">
        <v>22</v>
      </c>
      <c r="N30" s="85" t="s">
        <v>18</v>
      </c>
      <c r="O30" s="85" t="s">
        <v>19</v>
      </c>
      <c r="P30" s="85" t="s">
        <v>20</v>
      </c>
      <c r="Q30" s="85" t="s">
        <v>21</v>
      </c>
      <c r="R30" s="85" t="s">
        <v>22</v>
      </c>
      <c r="S30" s="100"/>
      <c r="T30" s="100"/>
      <c r="U30" s="100"/>
      <c r="V30" s="100"/>
      <c r="W30" s="100"/>
      <c r="X30" s="101"/>
    </row>
    <row r="31" spans="1:24">
      <c r="A31" s="121">
        <v>1</v>
      </c>
      <c r="B31" s="120" t="str">
        <f>'Module 1'!B1</f>
        <v>Module 1</v>
      </c>
      <c r="C31" s="82" t="str">
        <f>C4</f>
        <v>EV1</v>
      </c>
      <c r="D31" s="86">
        <f>COUNTIFS('Module 1'!I10:I9999,"Pass",'Module 1'!G10:G9999,"High")</f>
        <v>0</v>
      </c>
      <c r="E31" s="86">
        <f>COUNTIFS('Module 1'!I10:I9999,"Fail",'Module 1'!G10:G9999,"High")</f>
        <v>0</v>
      </c>
      <c r="F31" s="86">
        <f>COUNTIFS('Module 1'!I10:I9999,"Untested",'Module 1'!G10:G9999,"High")</f>
        <v>0</v>
      </c>
      <c r="G31" s="86">
        <f>COUNTIFS('Module 1'!I10:I9999,"Rejected",'Module 1'!G10:G9999,"High")</f>
        <v>0</v>
      </c>
      <c r="H31" s="87">
        <f>'Module 1'!G3</f>
        <v>1</v>
      </c>
      <c r="I31" s="88">
        <f>COUNTIFS('Module 1'!I10:I9999,"Pass",'Module 1'!G10:G9999,"Normal")</f>
        <v>0</v>
      </c>
      <c r="J31" s="88">
        <f>COUNTIFS('Module 1'!I10:I9999,"Fail",'Module 1'!G10:G9999,"Normal")</f>
        <v>0</v>
      </c>
      <c r="K31" s="88">
        <f>COUNTIFS('Module 1'!I10:I9999,"Untested",'Module 1'!G10:G9999,"Normal")</f>
        <v>0</v>
      </c>
      <c r="L31" s="88">
        <f>COUNTIFS('Module 1'!I10:I9999,"Rejected",'Module 1'!G10:G9999,"Normal")</f>
        <v>0</v>
      </c>
      <c r="M31" s="89">
        <f>'Module 1'!H3</f>
        <v>1</v>
      </c>
      <c r="N31" s="90">
        <f>COUNTIFS('Module 1'!I10:I9999,"Pass",'Module 1'!G10:G9999,"Low")</f>
        <v>0</v>
      </c>
      <c r="O31" s="90">
        <f>COUNTIFS('Module 1'!I10:I9999,"Fail",'Module 1'!G10:G9999,"Low")</f>
        <v>0</v>
      </c>
      <c r="P31" s="90">
        <f>COUNTIFS('Module 1'!I10:I9999,"Untested",'Module 1'!G10:G9999,"Low")</f>
        <v>0</v>
      </c>
      <c r="Q31" s="90">
        <f>COUNTIFS('Module 1'!I10:I9999,"Rejected",'Module 1'!G10:G9999,"Low")</f>
        <v>0</v>
      </c>
      <c r="R31" s="91">
        <f>'Module 1'!I3</f>
        <v>1</v>
      </c>
      <c r="S31" s="92">
        <f>'Module 1'!J3</f>
        <v>3</v>
      </c>
      <c r="T31" s="82">
        <f>'Module 1'!D1</f>
        <v>0</v>
      </c>
      <c r="U31" s="82">
        <f>'Module 1'!J8</f>
        <v>0</v>
      </c>
      <c r="V31" s="117"/>
      <c r="W31" s="118"/>
      <c r="X31" s="119"/>
    </row>
    <row r="32" spans="1:24">
      <c r="A32" s="122"/>
      <c r="B32" s="81"/>
      <c r="C32" s="82" t="str">
        <f>C5</f>
        <v>EV2</v>
      </c>
      <c r="D32" s="86">
        <f>COUNTIFS('Module 1'!L10:L9999,"Pass",'Module 1'!G10:G9999,"High")</f>
        <v>0</v>
      </c>
      <c r="E32" s="86">
        <f>COUNTIFS('Module 1'!L10:L9999,"Fail",'Module 1'!G10:G9999,"High")</f>
        <v>0</v>
      </c>
      <c r="F32" s="86">
        <f>COUNTIFS('Module 1'!L10:L9999,"Untested",'Module 1'!G10:G9999,"High")</f>
        <v>0</v>
      </c>
      <c r="G32" s="86">
        <f>COUNTIFS('Module 1'!L10:L9999,"Rejected",'Module 1'!G10:G9999,"High")</f>
        <v>0</v>
      </c>
      <c r="H32" s="87">
        <f>'Module 1'!G3</f>
        <v>1</v>
      </c>
      <c r="I32" s="88">
        <f>COUNTIFS('Module 1'!L10:L9999,"Pass",'Module 1'!G10:G9999,"Normal")</f>
        <v>0</v>
      </c>
      <c r="J32" s="88">
        <f>COUNTIFS('Module 1'!L10:L9999,"Fail",'Module 1'!G10:G9999,"Normal")</f>
        <v>0</v>
      </c>
      <c r="K32" s="88">
        <f>COUNTIFS('Module 1'!L10:L9999,"Untested",'Module 1'!G10:G9999,"Normal")</f>
        <v>0</v>
      </c>
      <c r="L32" s="88">
        <f>COUNTIFS('Module 1'!L10:L9999,"Rejected",'Module 1'!G10:G9999,"Normal")</f>
        <v>0</v>
      </c>
      <c r="M32" s="89">
        <f>'Module 1'!H3</f>
        <v>1</v>
      </c>
      <c r="N32" s="90">
        <f>COUNTIFS('Module 1'!L10:L9999,"Pass",'Module 1'!G10:G9999,"Low")</f>
        <v>0</v>
      </c>
      <c r="O32" s="90">
        <f>COUNTIFS('Module 1'!L10:L9999,"Fail",'Module 1'!G10:G9999,"Low")</f>
        <v>0</v>
      </c>
      <c r="P32" s="90">
        <f>COUNTIFS('Module 1'!L10:L9999,"Untested",'Module 1'!G10:G9999,"Low")</f>
        <v>0</v>
      </c>
      <c r="Q32" s="90">
        <f>COUNTIFS('Module 1'!L10:L9999,"Rejected",'Module 1'!G10:G9999,"Low")</f>
        <v>0</v>
      </c>
      <c r="R32" s="91">
        <f>'Module 1'!I3</f>
        <v>1</v>
      </c>
      <c r="S32" s="92">
        <f>'Module 1'!J3</f>
        <v>3</v>
      </c>
      <c r="T32" s="82">
        <f>'Module 1'!D1</f>
        <v>0</v>
      </c>
      <c r="U32" s="82">
        <f>'Module 1'!J8</f>
        <v>0</v>
      </c>
      <c r="V32" s="117"/>
      <c r="W32" s="118"/>
      <c r="X32" s="119"/>
    </row>
    <row r="33" spans="1:24">
      <c r="A33" s="122"/>
      <c r="B33" s="81"/>
      <c r="C33" s="82" t="str">
        <f>C6</f>
        <v>EV3</v>
      </c>
      <c r="D33" s="86">
        <f>COUNTIFS('Module 1'!O10:O9999,"Pass",'Module 1'!G10:G9999,"High")</f>
        <v>0</v>
      </c>
      <c r="E33" s="86">
        <f>COUNTIFS('Module 1'!O10:O9999,"Fail",'Module 1'!G10:G9999,"High")</f>
        <v>0</v>
      </c>
      <c r="F33" s="86">
        <f>COUNTIFS('Module 1'!O10:O9999,"Untested",'Module 1'!G10:G9999,"High")</f>
        <v>0</v>
      </c>
      <c r="G33" s="86">
        <f>COUNTIFS('Module 1'!O10:O9999,"Rejected",'Module 1'!G10:G9999,"High")</f>
        <v>0</v>
      </c>
      <c r="H33" s="87">
        <f>'Module 1'!G3</f>
        <v>1</v>
      </c>
      <c r="I33" s="88">
        <f>COUNTIFS('Module 1'!O10:O9999,"Pass",'Module 1'!G10:G9999,"Normal")</f>
        <v>0</v>
      </c>
      <c r="J33" s="88">
        <f>COUNTIFS('Module 1'!O10:O9999,"Fail",'Module 1'!G10:G9999,"Normal")</f>
        <v>0</v>
      </c>
      <c r="K33" s="88">
        <f>COUNTIFS('Module 1'!O10:O9999,"Untested",'Module 1'!G10:G9999,"Normal")</f>
        <v>0</v>
      </c>
      <c r="L33" s="88">
        <f>COUNTIFS('Module 1'!O10:O9999,"Rejected",'Module 1'!G10:G9999,"Normal")</f>
        <v>0</v>
      </c>
      <c r="M33" s="89">
        <f>'Module 1'!H3</f>
        <v>1</v>
      </c>
      <c r="N33" s="90">
        <f>COUNTIFS('Module 1'!O10:O9999,"Pass",'Module 1'!G10:G9999,"Low")</f>
        <v>0</v>
      </c>
      <c r="O33" s="90">
        <f>COUNTIFS('Module 1'!O10:O9999,"Fail",'Module 1'!G10:G9999,"Low")</f>
        <v>0</v>
      </c>
      <c r="P33" s="90">
        <f>COUNTIFS('Module 1'!O10:O9999,"Untested",'Module 1'!G10:G9999,"Low")</f>
        <v>0</v>
      </c>
      <c r="Q33" s="90">
        <f>COUNTIFS('Module 1'!O10:O9999,"Rejected",'Module 1'!G10:G9999,"Low")</f>
        <v>0</v>
      </c>
      <c r="R33" s="91">
        <f>'Module 1'!I3</f>
        <v>1</v>
      </c>
      <c r="S33" s="92">
        <f>'Module 1'!J3</f>
        <v>3</v>
      </c>
      <c r="T33" s="82">
        <f>'Module 1'!D1</f>
        <v>0</v>
      </c>
      <c r="U33" s="82">
        <f>'Module 1'!J8</f>
        <v>0</v>
      </c>
      <c r="V33" s="117"/>
      <c r="W33" s="118"/>
      <c r="X33" s="119"/>
    </row>
    <row r="34" spans="1:24">
      <c r="A34" s="93"/>
      <c r="B34" s="94"/>
      <c r="C34" s="82" t="str">
        <f>C7</f>
        <v>EV4</v>
      </c>
      <c r="D34" s="86">
        <f>COUNTIFS('Module 1'!R10:R9999,"Pass",'Module 1'!G10:G9999,"High")</f>
        <v>0</v>
      </c>
      <c r="E34" s="86">
        <f>COUNTIFS('Module 1'!R10:R9999,"Fail",'Module 1'!G10:G9999,"High")</f>
        <v>0</v>
      </c>
      <c r="F34" s="86">
        <f>COUNTIFS('Module 1'!R10:R9999,"Untested",'Module 1'!G10:G9999,"High")</f>
        <v>0</v>
      </c>
      <c r="G34" s="86">
        <f>COUNTIFS('Module 1'!R10:R9999,"Rejected",'Module 1'!G10:G9999,"High")</f>
        <v>0</v>
      </c>
      <c r="H34" s="87">
        <f>'Module 1'!G3</f>
        <v>1</v>
      </c>
      <c r="I34" s="88">
        <f>COUNTIFS('Module 1'!R10:R9999,"Pass",'Module 1'!G10:G9999,"Normal")</f>
        <v>0</v>
      </c>
      <c r="J34" s="88">
        <f>COUNTIFS('Module 1'!R10:R9999,"Fail",'Module 1'!G10:G9999,"Normal")</f>
        <v>0</v>
      </c>
      <c r="K34" s="88">
        <f>COUNTIFS('Module 1'!R10:R9999,"Untested",'Module 1'!G10:G9999,"Normal")</f>
        <v>0</v>
      </c>
      <c r="L34" s="88">
        <f>COUNTIFS('Module 1'!R10:R9999,"Rejected",'Module 1'!G10:G9999,"Normal")</f>
        <v>0</v>
      </c>
      <c r="M34" s="89">
        <f>'Module 1'!H3</f>
        <v>1</v>
      </c>
      <c r="N34" s="90">
        <f>COUNTIFS('Module 1'!R10:R9999,"Pass",'Module 1'!G10:G9999,"Low")</f>
        <v>0</v>
      </c>
      <c r="O34" s="90">
        <f>COUNTIFS('Module 1'!R10:R9999,"Fail",'Module 1'!G10:G9999,"Low")</f>
        <v>0</v>
      </c>
      <c r="P34" s="90">
        <f>COUNTIFS('Module 1'!R10:R9999,"Untested",'Module 1'!G10:G9999,"Low")</f>
        <v>0</v>
      </c>
      <c r="Q34" s="90">
        <f>COUNTIFS('Module 1'!R10:R9999,"Rejected",'Module 1'!G10:G9999,"Low")</f>
        <v>0</v>
      </c>
      <c r="R34" s="91">
        <f>'Module 1'!I3</f>
        <v>1</v>
      </c>
      <c r="S34" s="92">
        <f>'Module 1'!J3</f>
        <v>3</v>
      </c>
      <c r="T34" s="82">
        <f>'Module 1'!D1</f>
        <v>0</v>
      </c>
      <c r="U34" s="82">
        <f>'Module 1'!J8</f>
        <v>0</v>
      </c>
      <c r="V34" s="117"/>
      <c r="W34" s="118"/>
      <c r="X34" s="119"/>
    </row>
    <row r="36" spans="1:24">
      <c r="A36" s="60" t="s">
        <v>64</v>
      </c>
      <c r="B36" s="98"/>
    </row>
    <row r="37" spans="1:24">
      <c r="A37" s="99"/>
      <c r="B37" s="99"/>
      <c r="C37" s="95"/>
      <c r="D37" s="83" t="s">
        <v>24</v>
      </c>
      <c r="E37" s="83"/>
      <c r="F37" s="83"/>
      <c r="G37" s="83"/>
      <c r="H37" s="83"/>
      <c r="I37" s="83" t="s">
        <v>25</v>
      </c>
      <c r="J37" s="83"/>
      <c r="K37" s="83"/>
      <c r="L37" s="83"/>
      <c r="M37" s="83"/>
      <c r="N37" s="83" t="s">
        <v>26</v>
      </c>
      <c r="O37" s="83"/>
      <c r="P37" s="83"/>
      <c r="Q37" s="83"/>
      <c r="R37" s="83"/>
      <c r="S37" s="83" t="s">
        <v>59</v>
      </c>
      <c r="T37" s="83" t="s">
        <v>60</v>
      </c>
      <c r="U37" s="83" t="s">
        <v>27</v>
      </c>
      <c r="V37" s="83" t="s">
        <v>28</v>
      </c>
      <c r="W37" s="100"/>
      <c r="X37" s="101"/>
    </row>
    <row r="38" spans="1:24" ht="31.5">
      <c r="A38" s="84" t="s">
        <v>57</v>
      </c>
      <c r="B38" s="85" t="s">
        <v>58</v>
      </c>
      <c r="C38" s="85" t="s">
        <v>23</v>
      </c>
      <c r="D38" s="85" t="s">
        <v>18</v>
      </c>
      <c r="E38" s="85" t="s">
        <v>19</v>
      </c>
      <c r="F38" s="85" t="s">
        <v>20</v>
      </c>
      <c r="G38" s="85" t="s">
        <v>21</v>
      </c>
      <c r="H38" s="85" t="s">
        <v>22</v>
      </c>
      <c r="I38" s="85" t="s">
        <v>18</v>
      </c>
      <c r="J38" s="85" t="s">
        <v>19</v>
      </c>
      <c r="K38" s="85" t="s">
        <v>20</v>
      </c>
      <c r="L38" s="85" t="s">
        <v>21</v>
      </c>
      <c r="M38" s="85" t="s">
        <v>22</v>
      </c>
      <c r="N38" s="85" t="s">
        <v>18</v>
      </c>
      <c r="O38" s="85" t="s">
        <v>19</v>
      </c>
      <c r="P38" s="85" t="s">
        <v>20</v>
      </c>
      <c r="Q38" s="85" t="s">
        <v>21</v>
      </c>
      <c r="R38" s="85" t="s">
        <v>22</v>
      </c>
      <c r="S38" s="100"/>
      <c r="T38" s="100"/>
      <c r="U38" s="100"/>
      <c r="V38" s="100"/>
      <c r="W38" s="100"/>
      <c r="X38" s="101"/>
    </row>
    <row r="39" spans="1:24">
      <c r="A39" s="121">
        <v>1</v>
      </c>
      <c r="B39" s="120" t="str">
        <f>'Module 1'!B1</f>
        <v>Module 1</v>
      </c>
      <c r="C39" s="82" t="str">
        <f>C4</f>
        <v>EV1</v>
      </c>
      <c r="D39" s="86">
        <f>COUNTIFS('Module 1'!V10:V9999,"Pass",'Module 1'!G10:G9999,"High")</f>
        <v>0</v>
      </c>
      <c r="E39" s="86">
        <f>COUNTIFS('Module 1'!V10:V9999,"Fail",'Module 1'!G10:G9999,"High")</f>
        <v>0</v>
      </c>
      <c r="F39" s="86">
        <f>COUNTIFS('Module 1'!V10:V9999,"Untested",'Module 1'!G10:G9999,"High")</f>
        <v>0</v>
      </c>
      <c r="G39" s="86">
        <f>COUNTIFS('Module 1'!V10:V9999,"Rejected",'Module 1'!G10:G9999,"High")</f>
        <v>0</v>
      </c>
      <c r="H39" s="87">
        <f>'Module 1'!G3</f>
        <v>1</v>
      </c>
      <c r="I39" s="88">
        <f>COUNTIFS('Module 1'!V10:V9999,"Pass",'Module 1'!G10:G9999,"Normal")</f>
        <v>0</v>
      </c>
      <c r="J39" s="88">
        <f>COUNTIFS('Module 1'!V10:V9999,"Fail",'Module 1'!G10:G9999,"Normal")</f>
        <v>0</v>
      </c>
      <c r="K39" s="88">
        <f>COUNTIFS('Module 1'!V10:V9999,"Untested",'Module 1'!G10:G9999,"Normal")</f>
        <v>0</v>
      </c>
      <c r="L39" s="88">
        <f>COUNTIFS('Module 1'!V10:V9999,"Rejected",'Module 1'!G10:G9999,"Normal")</f>
        <v>0</v>
      </c>
      <c r="M39" s="89">
        <f>'Module 1'!H3</f>
        <v>1</v>
      </c>
      <c r="N39" s="90">
        <f>COUNTIFS('Module 1'!V10:V9999,"Pass",'Module 1'!G10:G9999,"Low")</f>
        <v>0</v>
      </c>
      <c r="O39" s="90">
        <f>COUNTIFS('Module 1'!V10:V9999,"Fail",'Module 1'!G10:G9999,"Low")</f>
        <v>0</v>
      </c>
      <c r="P39" s="90">
        <f>COUNTIFS('Module 1'!V10:V9999,"Untested",'Module 1'!G10:G9999,"Low")</f>
        <v>0</v>
      </c>
      <c r="Q39" s="90">
        <f>COUNTIFS('Module 1'!V10:V9999,"Rejected",'Module 1'!G10:G9999,"Low")</f>
        <v>0</v>
      </c>
      <c r="R39" s="91">
        <f>'Module 1'!I3</f>
        <v>1</v>
      </c>
      <c r="S39" s="92">
        <f>'Module 1'!J3</f>
        <v>3</v>
      </c>
      <c r="T39" s="82">
        <f>'Module 1'!D1</f>
        <v>0</v>
      </c>
      <c r="U39" s="82">
        <f>'Module 1'!J8</f>
        <v>0</v>
      </c>
      <c r="V39" s="117"/>
      <c r="W39" s="118"/>
      <c r="X39" s="119"/>
    </row>
    <row r="40" spans="1:24">
      <c r="A40" s="122"/>
      <c r="B40" s="81"/>
      <c r="C40" s="82" t="str">
        <f>C5</f>
        <v>EV2</v>
      </c>
      <c r="D40" s="86">
        <f>COUNTIFS('Module 1'!Y10:Y9999,"Pass",'Module 1'!G10:G9999,"High")</f>
        <v>0</v>
      </c>
      <c r="E40" s="86">
        <f>COUNTIFS('Module 1'!Y10:Y9999,"Fail",'Module 1'!G10:G9999,"High")</f>
        <v>0</v>
      </c>
      <c r="F40" s="86">
        <f>COUNTIFS('Module 1'!Y10:Y9999,"Untested",'Module 1'!G10:G9999,"High")</f>
        <v>0</v>
      </c>
      <c r="G40" s="86">
        <f>COUNTIFS('Module 1'!Y10:Y9999,"Rejected",'Module 1'!G10:G9999,"High")</f>
        <v>0</v>
      </c>
      <c r="H40" s="87">
        <f>'Module 1'!G3</f>
        <v>1</v>
      </c>
      <c r="I40" s="88">
        <f>COUNTIFS('Module 1'!Y10:Y9999,"Pass",'Module 1'!G10:G9999,"Normal")</f>
        <v>0</v>
      </c>
      <c r="J40" s="88">
        <f>COUNTIFS('Module 1'!Y10:Y9999,"Fail",'Module 1'!G10:G9999,"Normal")</f>
        <v>0</v>
      </c>
      <c r="K40" s="88">
        <f>COUNTIFS('Module 1'!Y10:Y9999,"Untested",'Module 1'!G10:G9999,"Normal")</f>
        <v>0</v>
      </c>
      <c r="L40" s="88">
        <f>COUNTIFS('Module 1'!Y10:Y9999,"Rejected",'Module 1'!G10:G9999,"Normal")</f>
        <v>0</v>
      </c>
      <c r="M40" s="89">
        <f>'Module 1'!H3</f>
        <v>1</v>
      </c>
      <c r="N40" s="90">
        <f>COUNTIFS('Module 1'!Y10:Y9999,"Pass",'Module 1'!G10:G9999,"Low")</f>
        <v>0</v>
      </c>
      <c r="O40" s="90">
        <f>COUNTIFS('Module 1'!Y10:Y9999,"Fail",'Module 1'!G10:G9999,"Low")</f>
        <v>0</v>
      </c>
      <c r="P40" s="90">
        <f>COUNTIFS('Module 1'!Y10:Y9999,"Untested",'Module 1'!G10:G9999,"Low")</f>
        <v>0</v>
      </c>
      <c r="Q40" s="90">
        <f>COUNTIFS('Module 1'!Y10:Y9999,"Rejected",'Module 1'!G10:G9999,"Low")</f>
        <v>0</v>
      </c>
      <c r="R40" s="91">
        <f>'Module 1'!I3</f>
        <v>1</v>
      </c>
      <c r="S40" s="92">
        <f>'Module 1'!J3</f>
        <v>3</v>
      </c>
      <c r="T40" s="82">
        <f>'Module 1'!D1</f>
        <v>0</v>
      </c>
      <c r="U40" s="82">
        <f>'Module 1'!J8</f>
        <v>0</v>
      </c>
      <c r="V40" s="117"/>
      <c r="W40" s="118"/>
      <c r="X40" s="119"/>
    </row>
    <row r="41" spans="1:24">
      <c r="A41" s="122"/>
      <c r="B41" s="81"/>
      <c r="C41" s="82" t="str">
        <f>C6</f>
        <v>EV3</v>
      </c>
      <c r="D41" s="86">
        <f>COUNTIFS('Module 1'!AB10:AB9999,"Pass",'Module 1'!G10:G9999,"High")</f>
        <v>0</v>
      </c>
      <c r="E41" s="86">
        <f>COUNTIFS('Module 1'!AB10:AB9999,"Fail",'Module 1'!G10:G9999,"High")</f>
        <v>0</v>
      </c>
      <c r="F41" s="86">
        <f>COUNTIFS('Module 1'!AB10:AB9999,"Untested",'Module 1'!G10:G9999,"High")</f>
        <v>0</v>
      </c>
      <c r="G41" s="86">
        <f>COUNTIFS('Module 1'!AB10:AB9999,"Rejected",'Module 1'!G10:G9999,"High")</f>
        <v>0</v>
      </c>
      <c r="H41" s="87">
        <f>'Module 1'!G3</f>
        <v>1</v>
      </c>
      <c r="I41" s="88">
        <f>COUNTIFS('Module 1'!AB10:AB9999,"Pass",'Module 1'!G10:G9999,"Normal")</f>
        <v>0</v>
      </c>
      <c r="J41" s="88">
        <f>COUNTIFS('Module 1'!AB10:AB9999,"Fail",'Module 1'!G10:G9999,"Normal")</f>
        <v>0</v>
      </c>
      <c r="K41" s="88">
        <f>COUNTIFS('Module 1'!AB10:AB9999,"Untested",'Module 1'!G10:G9999,"Normal")</f>
        <v>0</v>
      </c>
      <c r="L41" s="88">
        <f>COUNTIFS('Module 1'!AB10:AB9999,"Rejected",'Module 1'!G10:G9999,"Normal")</f>
        <v>0</v>
      </c>
      <c r="M41" s="89">
        <f>'Module 1'!H3</f>
        <v>1</v>
      </c>
      <c r="N41" s="90">
        <f>COUNTIFS('Module 1'!AB10:AB9999,"Pass",'Module 1'!G10:G9999,"Low")</f>
        <v>0</v>
      </c>
      <c r="O41" s="90">
        <f>COUNTIFS('Module 1'!AB10:AB9999,"Fail",'Module 1'!G10:G9999,"Low")</f>
        <v>0</v>
      </c>
      <c r="P41" s="90">
        <f>COUNTIFS('Module 1'!AB10:AB9999,"Untested",'Module 1'!G10:G9999,"Low")</f>
        <v>0</v>
      </c>
      <c r="Q41" s="90">
        <f>COUNTIFS('Module 1'!AB10:AB9999,"Rejected",'Module 1'!G10:G9999,"Low")</f>
        <v>0</v>
      </c>
      <c r="R41" s="91">
        <f>'Module 1'!I3</f>
        <v>1</v>
      </c>
      <c r="S41" s="92">
        <f>'Module 1'!J3</f>
        <v>3</v>
      </c>
      <c r="T41" s="82">
        <f>'Module 1'!D1</f>
        <v>0</v>
      </c>
      <c r="U41" s="82">
        <f>'Module 1'!J8</f>
        <v>0</v>
      </c>
      <c r="V41" s="117"/>
      <c r="W41" s="118"/>
      <c r="X41" s="119"/>
    </row>
    <row r="42" spans="1:24">
      <c r="A42" s="93"/>
      <c r="B42" s="94"/>
      <c r="C42" s="82" t="str">
        <f>C7</f>
        <v>EV4</v>
      </c>
      <c r="D42" s="86">
        <f>COUNTIFS('Module 1'!AE10:AE9999,"Pass",'Module 1'!G10:G9999,"High")</f>
        <v>0</v>
      </c>
      <c r="E42" s="86">
        <f>COUNTIFS('Module 1'!AE10:AE9999,"Fail",'Module 1'!G10:G9999,"High")</f>
        <v>0</v>
      </c>
      <c r="F42" s="86">
        <f>COUNTIFS('Module 1'!AE10:AE9999,"Untested",'Module 1'!G10:G9999,"High")</f>
        <v>0</v>
      </c>
      <c r="G42" s="86">
        <f>COUNTIFS('Module 1'!AE10:AE9999,"Rejected",'Module 1'!G10:G9999,"High")</f>
        <v>0</v>
      </c>
      <c r="H42" s="87">
        <f>'Module 1'!G3</f>
        <v>1</v>
      </c>
      <c r="I42" s="88">
        <f>COUNTIFS('Module 1'!AE10:AE9999,"Pass",'Module 1'!G10:G9999,"Normal")</f>
        <v>0</v>
      </c>
      <c r="J42" s="88">
        <f>COUNTIFS('Module 1'!AE10:AE9999,"Fail",'Module 1'!G10:G9999,"Normal")</f>
        <v>0</v>
      </c>
      <c r="K42" s="88">
        <f>COUNTIFS('Module 1'!AE10:AE9999,"Untested",'Module 1'!G10:G9999,"Normal")</f>
        <v>0</v>
      </c>
      <c r="L42" s="88">
        <f>COUNTIFS('Module 1'!AE10:AE9999,"Rejected",'Module 1'!G10:G9999,"Normal")</f>
        <v>0</v>
      </c>
      <c r="M42" s="89">
        <f>'Module 1'!H3</f>
        <v>1</v>
      </c>
      <c r="N42" s="90">
        <f>COUNTIFS('Module 1'!AE10:AE9999,"Pass",'Module 1'!G10:G9999,"Low")</f>
        <v>0</v>
      </c>
      <c r="O42" s="90">
        <f>COUNTIFS('Module 1'!AE10:AE9999,"Fail",'Module 1'!G10:G9999,"Low")</f>
        <v>0</v>
      </c>
      <c r="P42" s="90">
        <f>COUNTIFS('Module 1'!AE10:AE9999,"Untested",'Module 1'!G10:G9999,"Low")</f>
        <v>0</v>
      </c>
      <c r="Q42" s="90">
        <f>COUNTIFS('Module 1'!AE10:AE9999,"Rejected",'Module 1'!G10:G9999,"Low")</f>
        <v>0</v>
      </c>
      <c r="R42" s="91">
        <f>'Module 1'!I3</f>
        <v>1</v>
      </c>
      <c r="S42" s="92">
        <f>'Module 1'!J3</f>
        <v>3</v>
      </c>
      <c r="T42" s="82">
        <f>'Module 1'!D1</f>
        <v>0</v>
      </c>
      <c r="U42" s="82">
        <f>'Module 1'!J8</f>
        <v>0</v>
      </c>
      <c r="V42" s="117"/>
      <c r="W42" s="118"/>
      <c r="X42" s="119"/>
    </row>
  </sheetData>
  <mergeCells count="63">
    <mergeCell ref="B31:B34"/>
    <mergeCell ref="A39:A42"/>
    <mergeCell ref="A31:A34"/>
    <mergeCell ref="B39:B42"/>
    <mergeCell ref="V34:X34"/>
    <mergeCell ref="V42:X42"/>
    <mergeCell ref="V33:X33"/>
    <mergeCell ref="V41:X41"/>
    <mergeCell ref="V40:X40"/>
    <mergeCell ref="T37:T38"/>
    <mergeCell ref="U37:U38"/>
    <mergeCell ref="V37:X38"/>
    <mergeCell ref="V31:X31"/>
    <mergeCell ref="V39:X39"/>
    <mergeCell ref="A36:B37"/>
    <mergeCell ref="D37:H37"/>
    <mergeCell ref="I37:M37"/>
    <mergeCell ref="N37:R37"/>
    <mergeCell ref="S37:S38"/>
    <mergeCell ref="S29:S30"/>
    <mergeCell ref="T29:T30"/>
    <mergeCell ref="U29:U30"/>
    <mergeCell ref="V29:X30"/>
    <mergeCell ref="D29:H29"/>
    <mergeCell ref="I29:M29"/>
    <mergeCell ref="N29:R29"/>
    <mergeCell ref="V19:X19"/>
    <mergeCell ref="D20:H20"/>
    <mergeCell ref="I20:M20"/>
    <mergeCell ref="N20:R20"/>
    <mergeCell ref="S20:S21"/>
    <mergeCell ref="T20:T21"/>
    <mergeCell ref="U20:U21"/>
    <mergeCell ref="V20:V21"/>
    <mergeCell ref="W20:W21"/>
    <mergeCell ref="X20:X21"/>
    <mergeCell ref="X11:X12"/>
    <mergeCell ref="A17:C17"/>
    <mergeCell ref="A19:C21"/>
    <mergeCell ref="D19:R19"/>
    <mergeCell ref="S19:U19"/>
    <mergeCell ref="A22:B25"/>
    <mergeCell ref="A26:C26"/>
    <mergeCell ref="A4:B7"/>
    <mergeCell ref="A9:B9"/>
    <mergeCell ref="A13:B16"/>
    <mergeCell ref="A10:C12"/>
    <mergeCell ref="A28:B29"/>
    <mergeCell ref="D2:J2"/>
    <mergeCell ref="K2:Q2"/>
    <mergeCell ref="A3:B3"/>
    <mergeCell ref="D10:R10"/>
    <mergeCell ref="D11:H11"/>
    <mergeCell ref="I11:M11"/>
    <mergeCell ref="N11:R11"/>
    <mergeCell ref="S10:U10"/>
    <mergeCell ref="S11:S12"/>
    <mergeCell ref="T11:T12"/>
    <mergeCell ref="U11:U12"/>
    <mergeCell ref="V10:X10"/>
    <mergeCell ref="V11:V12"/>
    <mergeCell ref="W11:W12"/>
    <mergeCell ref="V32:X32"/>
  </mergeCells>
  <phoneticPr fontId="12"/>
  <pageMargins left="0.7" right="0.7" top="0.75" bottom="0.75" header="0.3" footer="0.3"/>
  <pageSetup paperSize="9"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TemplateAllSheet">
                <anchor moveWithCells="1" sizeWithCells="1">
                  <from>
                    <xdr:col>0</xdr:col>
                    <xdr:colOff>257175</xdr:colOff>
                    <xdr:row>0</xdr:row>
                    <xdr:rowOff>0</xdr:rowOff>
                  </from>
                  <to>
                    <xdr:col>3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9D4A5-932B-48FC-8F01-335ACA74BC04}">
  <sheetPr codeName="Sheet3"/>
  <dimension ref="A1:CV108"/>
  <sheetViews>
    <sheetView zoomScale="90" zoomScaleNormal="90" zoomScalePageLayoutView="180" workbookViewId="0">
      <selection activeCell="K16" sqref="A16:K16"/>
    </sheetView>
  </sheetViews>
  <sheetFormatPr defaultColWidth="8.85546875" defaultRowHeight="15"/>
  <cols>
    <col min="1" max="1" width="20.7109375" customWidth="1"/>
    <col min="2" max="2" width="15.140625" customWidth="1"/>
    <col min="3" max="3" width="22.140625" customWidth="1"/>
    <col min="4" max="4" width="26.140625" customWidth="1"/>
    <col min="5" max="5" width="14.5703125" customWidth="1"/>
    <col min="6" max="6" width="26.5703125" customWidth="1"/>
    <col min="7" max="7" width="11.42578125" customWidth="1"/>
    <col min="8" max="8" width="13.42578125" customWidth="1"/>
    <col min="9" max="9" width="10.85546875" customWidth="1"/>
    <col min="10" max="10" width="14.140625" customWidth="1"/>
    <col min="11" max="11" width="12.7109375" customWidth="1"/>
    <col min="12" max="12" width="9.5703125" customWidth="1"/>
    <col min="13" max="13" width="13.7109375" customWidth="1"/>
    <col min="14" max="14" width="14.7109375" customWidth="1"/>
    <col min="15" max="15" width="13.42578125" customWidth="1"/>
    <col min="16" max="18" width="10.85546875" customWidth="1"/>
    <col min="19" max="19" width="11.140625" customWidth="1"/>
    <col min="20" max="20" width="10.42578125" customWidth="1"/>
    <col min="21" max="21" width="11.5703125" customWidth="1"/>
    <col min="22" max="22" width="13.42578125" customWidth="1"/>
    <col min="23" max="23" width="19.42578125" customWidth="1"/>
  </cols>
  <sheetData>
    <row r="1" spans="1:100" ht="30.75" customHeight="1">
      <c r="A1" s="3" t="s">
        <v>29</v>
      </c>
      <c r="B1" s="30" t="s">
        <v>65</v>
      </c>
      <c r="C1" s="4" t="s">
        <v>30</v>
      </c>
      <c r="D1" s="30"/>
      <c r="E1" s="1"/>
      <c r="F1" s="31" t="s">
        <v>23</v>
      </c>
      <c r="G1" s="57" t="s">
        <v>31</v>
      </c>
      <c r="H1" s="58"/>
      <c r="I1" s="58"/>
      <c r="J1" s="59"/>
      <c r="K1" s="52" t="s">
        <v>17</v>
      </c>
      <c r="L1" s="53"/>
      <c r="M1" s="53"/>
      <c r="N1" s="53"/>
      <c r="O1" s="53"/>
      <c r="P1" s="54"/>
      <c r="Q1" s="52" t="s">
        <v>32</v>
      </c>
      <c r="R1" s="53"/>
      <c r="S1" s="53"/>
      <c r="T1" s="53"/>
      <c r="U1" s="53"/>
      <c r="V1" s="54"/>
      <c r="W1" s="15"/>
      <c r="X1" s="15"/>
      <c r="Y1" s="16"/>
      <c r="Z1" s="16"/>
      <c r="AA1" s="16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6"/>
      <c r="AO1" s="16"/>
      <c r="AP1" s="16"/>
      <c r="AQ1" s="16"/>
      <c r="AR1" s="16"/>
      <c r="AS1" s="16"/>
      <c r="AT1" s="16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8"/>
    </row>
    <row r="2" spans="1:100" ht="31.5">
      <c r="A2" s="3" t="s">
        <v>33</v>
      </c>
      <c r="B2" s="39" t="str">
        <f>Cover!D3</f>
        <v>Nhập tên dự án</v>
      </c>
      <c r="C2" s="4" t="s">
        <v>34</v>
      </c>
      <c r="D2" s="32"/>
      <c r="E2" s="1"/>
      <c r="F2" s="38"/>
      <c r="G2" s="31" t="s">
        <v>24</v>
      </c>
      <c r="H2" s="31" t="s">
        <v>25</v>
      </c>
      <c r="I2" s="31" t="s">
        <v>26</v>
      </c>
      <c r="J2" s="31" t="s">
        <v>22</v>
      </c>
      <c r="K2" s="31" t="s">
        <v>18</v>
      </c>
      <c r="L2" s="31" t="s">
        <v>19</v>
      </c>
      <c r="M2" s="31" t="s">
        <v>20</v>
      </c>
      <c r="N2" s="31" t="s">
        <v>21</v>
      </c>
      <c r="O2" s="31" t="s">
        <v>35</v>
      </c>
      <c r="P2" s="31" t="s">
        <v>36</v>
      </c>
      <c r="Q2" s="31" t="s">
        <v>18</v>
      </c>
      <c r="R2" s="31" t="s">
        <v>19</v>
      </c>
      <c r="S2" s="31" t="s">
        <v>20</v>
      </c>
      <c r="T2" s="31" t="s">
        <v>21</v>
      </c>
      <c r="U2" s="31" t="s">
        <v>37</v>
      </c>
      <c r="V2" s="31" t="s">
        <v>36</v>
      </c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8"/>
    </row>
    <row r="3" spans="1:100" ht="15.75">
      <c r="A3" s="3" t="s">
        <v>5</v>
      </c>
      <c r="B3" s="39" t="str">
        <f>Cover!D4</f>
        <v xml:space="preserve">Nhâp tên phase </v>
      </c>
      <c r="C3" s="4" t="s">
        <v>38</v>
      </c>
      <c r="D3" s="32"/>
      <c r="E3" s="1"/>
      <c r="F3" s="109" t="str">
        <f>Report!C4</f>
        <v>EV1</v>
      </c>
      <c r="G3" s="110">
        <f>COUNTIF(G10:G1002,"High")</f>
        <v>1</v>
      </c>
      <c r="H3" s="110">
        <f>COUNTIF(G10:G1002,"Normal")</f>
        <v>1</v>
      </c>
      <c r="I3" s="110">
        <f>COUNTIF(G10:G1002,"Low")</f>
        <v>1</v>
      </c>
      <c r="J3" s="110">
        <f>SUM(G3:I3)</f>
        <v>3</v>
      </c>
      <c r="K3" s="111">
        <f>COUNTIF(I10:I1010,"Pass")</f>
        <v>0</v>
      </c>
      <c r="L3" s="111">
        <f>COUNTIF(I10:I1010,"Fail")</f>
        <v>0</v>
      </c>
      <c r="M3" s="111">
        <f>J3-K3-L3-N3</f>
        <v>3</v>
      </c>
      <c r="N3" s="111">
        <f>COUNTIF(I10:I1010,"Rejected")</f>
        <v>0</v>
      </c>
      <c r="O3" s="112">
        <f>(K3+L3)/(J3-N3)</f>
        <v>0</v>
      </c>
      <c r="P3" s="112">
        <f>K3/(J3-N3)</f>
        <v>0</v>
      </c>
      <c r="Q3" s="111">
        <f>COUNTIF(V10:V1009,"Pass")</f>
        <v>0</v>
      </c>
      <c r="R3" s="111">
        <f>COUNTIF(V10:V1009,"Fail")</f>
        <v>0</v>
      </c>
      <c r="S3" s="111">
        <f>J3-Q3-R3-T3</f>
        <v>3</v>
      </c>
      <c r="T3" s="111">
        <f>COUNTIF(V10:V1009,"Rejected")</f>
        <v>0</v>
      </c>
      <c r="U3" s="112">
        <f>(Q3+R3)/(J3-T3)</f>
        <v>0</v>
      </c>
      <c r="V3" s="112">
        <f>Q3/(J3-T3)</f>
        <v>0</v>
      </c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8"/>
    </row>
    <row r="4" spans="1:100" ht="15.75">
      <c r="A4" s="3"/>
      <c r="B4" s="43"/>
      <c r="C4" s="4"/>
      <c r="D4" s="44"/>
      <c r="E4" s="1"/>
      <c r="F4" s="113" t="str">
        <f>Report!C5</f>
        <v>EV2</v>
      </c>
      <c r="G4" s="114"/>
      <c r="H4" s="114"/>
      <c r="I4" s="114"/>
      <c r="J4" s="114"/>
      <c r="K4" s="115">
        <f>COUNTIF(L10:L1010,"Pass")</f>
        <v>0</v>
      </c>
      <c r="L4" s="115">
        <f>COUNTIF(L10:L1010,"Fail")</f>
        <v>0</v>
      </c>
      <c r="M4" s="115">
        <f>J3-K4-L4-N4</f>
        <v>3</v>
      </c>
      <c r="N4" s="115">
        <f>COUNTIF(L10:L1010,"Rejected")</f>
        <v>0</v>
      </c>
      <c r="O4" s="116">
        <f>(K4+L4)/(J3-N4)</f>
        <v>0</v>
      </c>
      <c r="P4" s="116">
        <f>K4/(J3-N4)</f>
        <v>0</v>
      </c>
      <c r="Q4" s="115">
        <f>COUNTIF(Y10:Y1009,"Pass")</f>
        <v>0</v>
      </c>
      <c r="R4" s="115">
        <f>COUNTIF(Y10:Y1009,"Fail")</f>
        <v>0</v>
      </c>
      <c r="S4" s="115">
        <f>J3-Q4-R4-T4</f>
        <v>3</v>
      </c>
      <c r="T4" s="115">
        <f>COUNTIF(Y10:Y1009,"Rejected")</f>
        <v>0</v>
      </c>
      <c r="U4" s="116">
        <f>(Q4+R4)/(J3-T4)</f>
        <v>0</v>
      </c>
      <c r="V4" s="116">
        <f>Q4/(J3-T4)</f>
        <v>0</v>
      </c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8"/>
    </row>
    <row r="5" spans="1:100" ht="15.75">
      <c r="A5" s="3"/>
      <c r="B5" s="43"/>
      <c r="C5" s="4"/>
      <c r="D5" s="44"/>
      <c r="E5" s="1"/>
      <c r="F5" s="113" t="str">
        <f>Report!C6</f>
        <v>EV3</v>
      </c>
      <c r="G5" s="114"/>
      <c r="H5" s="114"/>
      <c r="I5" s="114"/>
      <c r="J5" s="114"/>
      <c r="K5" s="115">
        <f>COUNTIF(O10:O1010,"Pass")</f>
        <v>0</v>
      </c>
      <c r="L5" s="115">
        <f>COUNTIF(O10:O1010,"Fail")</f>
        <v>0</v>
      </c>
      <c r="M5" s="115">
        <f>J3-K5-L5-N5</f>
        <v>3</v>
      </c>
      <c r="N5" s="115">
        <f>COUNTIF(O10:O1010,"Rejected")</f>
        <v>0</v>
      </c>
      <c r="O5" s="116">
        <f>(K5+L5)/(J3-N5)</f>
        <v>0</v>
      </c>
      <c r="P5" s="116">
        <f>K5/(J3-N5)</f>
        <v>0</v>
      </c>
      <c r="Q5" s="115">
        <f>COUNTIF(AB10:AB1009,"Pass")</f>
        <v>0</v>
      </c>
      <c r="R5" s="115">
        <f>COUNTIF(AB10:AB1009,"Fail")</f>
        <v>0</v>
      </c>
      <c r="S5" s="115">
        <f>J3-Q5-R5-T5</f>
        <v>3</v>
      </c>
      <c r="T5" s="115">
        <f>COUNTIF(AB10:AB1009,"Rejected")</f>
        <v>0</v>
      </c>
      <c r="U5" s="116">
        <f>(Q5+R5)/(J3-T5)</f>
        <v>0</v>
      </c>
      <c r="V5" s="116">
        <f>Q5/(J3-T5)</f>
        <v>0</v>
      </c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8"/>
    </row>
    <row r="6" spans="1:100" ht="15.75">
      <c r="A6" s="3"/>
      <c r="B6" s="43"/>
      <c r="C6" s="4"/>
      <c r="D6" s="44"/>
      <c r="E6" s="1"/>
      <c r="F6" s="113" t="str">
        <f>Report!C7</f>
        <v>EV4</v>
      </c>
      <c r="G6" s="114"/>
      <c r="H6" s="114"/>
      <c r="I6" s="114"/>
      <c r="J6" s="114"/>
      <c r="K6" s="115">
        <f>COUNTIF(R10:R1010,"Pass")</f>
        <v>0</v>
      </c>
      <c r="L6" s="115">
        <f>COUNTIF(R10:R1010,"Fail")</f>
        <v>0</v>
      </c>
      <c r="M6" s="115">
        <f>J3-K6-L6-N6</f>
        <v>3</v>
      </c>
      <c r="N6" s="115">
        <f>COUNTIF(R10:R1010,"Rejected")</f>
        <v>0</v>
      </c>
      <c r="O6" s="116">
        <f>(K6+L6)/(J3-N6)</f>
        <v>0</v>
      </c>
      <c r="P6" s="116">
        <f>K6/(J3-N6)</f>
        <v>0</v>
      </c>
      <c r="Q6" s="115">
        <f>COUNTIF(AE10:AE1009,"Pass")</f>
        <v>0</v>
      </c>
      <c r="R6" s="115">
        <f>COUNTIF(AE10:AE1009,"Fail")</f>
        <v>0</v>
      </c>
      <c r="S6" s="115">
        <f>J3-Q6-R6-T6</f>
        <v>3</v>
      </c>
      <c r="T6" s="115">
        <f>COUNTIF(AE10:AE1009,"Rejected")</f>
        <v>0</v>
      </c>
      <c r="U6" s="116">
        <f>(Q6+R6)/(J3-T6)</f>
        <v>0</v>
      </c>
      <c r="V6" s="116">
        <f>Q6/(J3-T6)</f>
        <v>0</v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8"/>
    </row>
    <row r="7" spans="1:100" ht="15.75">
      <c r="A7" s="1"/>
      <c r="B7" s="1"/>
      <c r="C7" s="2"/>
      <c r="D7" s="1"/>
      <c r="E7" s="1"/>
      <c r="F7" s="2"/>
      <c r="G7" s="2"/>
      <c r="H7" s="1"/>
      <c r="I7" s="20"/>
      <c r="J7" s="20"/>
      <c r="K7" s="20"/>
      <c r="L7" s="20"/>
      <c r="M7" s="20"/>
      <c r="N7" s="20"/>
      <c r="O7" s="1"/>
      <c r="P7" s="20"/>
      <c r="Q7" s="20"/>
      <c r="R7" s="20"/>
      <c r="S7" s="20"/>
      <c r="T7" s="20"/>
      <c r="U7" s="20"/>
      <c r="V7" s="1"/>
      <c r="W7" s="18"/>
    </row>
    <row r="8" spans="1:100" ht="15.75" customHeight="1">
      <c r="A8" s="55" t="s">
        <v>39</v>
      </c>
      <c r="B8" s="55" t="s">
        <v>40</v>
      </c>
      <c r="C8" s="55" t="s">
        <v>50</v>
      </c>
      <c r="D8" s="55" t="s">
        <v>41</v>
      </c>
      <c r="E8" s="55" t="s">
        <v>42</v>
      </c>
      <c r="F8" s="55" t="s">
        <v>43</v>
      </c>
      <c r="G8" s="57" t="s">
        <v>44</v>
      </c>
      <c r="H8" s="102" t="s">
        <v>66</v>
      </c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 t="s">
        <v>68</v>
      </c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 t="s">
        <v>28</v>
      </c>
      <c r="AI8" s="108"/>
      <c r="AJ8" s="108"/>
      <c r="AK8" s="108"/>
      <c r="AL8" s="108"/>
      <c r="AM8" s="108"/>
      <c r="AN8" s="108"/>
      <c r="AO8" s="108"/>
      <c r="AP8" s="108"/>
      <c r="AQ8" s="108"/>
      <c r="AR8" s="108"/>
      <c r="AS8" s="108"/>
      <c r="AT8" s="108"/>
      <c r="AU8" s="108"/>
      <c r="AV8" s="108"/>
      <c r="AW8" s="108"/>
      <c r="AX8" s="108"/>
      <c r="AY8" s="108"/>
      <c r="AZ8" s="108"/>
      <c r="BA8" s="108"/>
      <c r="BB8" s="108"/>
      <c r="BC8" s="108"/>
      <c r="BD8" s="108"/>
      <c r="BE8" s="108"/>
      <c r="BF8" s="108"/>
      <c r="BG8" s="108"/>
      <c r="BH8" s="108"/>
      <c r="BI8" s="108"/>
      <c r="BJ8" s="108"/>
      <c r="BK8" s="108"/>
      <c r="BL8" s="108"/>
      <c r="BM8" s="108"/>
      <c r="BN8" s="108"/>
      <c r="BO8" s="108"/>
      <c r="BP8" s="108"/>
      <c r="BQ8" s="108"/>
      <c r="BR8" s="108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</row>
    <row r="9" spans="1:100" ht="15.75">
      <c r="A9" s="56"/>
      <c r="B9" s="56"/>
      <c r="C9" s="56"/>
      <c r="D9" s="56"/>
      <c r="E9" s="56"/>
      <c r="F9" s="56"/>
      <c r="G9" s="57"/>
      <c r="H9" s="46" t="s">
        <v>67</v>
      </c>
      <c r="I9" s="46" t="str">
        <f>Report!C4</f>
        <v>EV1</v>
      </c>
      <c r="J9" s="46" t="s">
        <v>27</v>
      </c>
      <c r="K9" s="46" t="s">
        <v>45</v>
      </c>
      <c r="L9" s="46" t="str">
        <f>Report!C5</f>
        <v>EV2</v>
      </c>
      <c r="M9" s="46" t="s">
        <v>27</v>
      </c>
      <c r="N9" s="46" t="s">
        <v>45</v>
      </c>
      <c r="O9" s="46" t="str">
        <f>Report!C6</f>
        <v>EV3</v>
      </c>
      <c r="P9" s="104" t="s">
        <v>27</v>
      </c>
      <c r="Q9" s="104" t="s">
        <v>45</v>
      </c>
      <c r="R9" s="104" t="str">
        <f>Report!C7</f>
        <v>EV4</v>
      </c>
      <c r="S9" s="104" t="s">
        <v>27</v>
      </c>
      <c r="T9" s="104" t="s">
        <v>45</v>
      </c>
      <c r="U9" s="104" t="s">
        <v>67</v>
      </c>
      <c r="V9" s="104" t="str">
        <f>Report!C4</f>
        <v>EV1</v>
      </c>
      <c r="W9" s="104" t="s">
        <v>27</v>
      </c>
      <c r="X9" s="104" t="s">
        <v>45</v>
      </c>
      <c r="Y9" s="104" t="str">
        <f>Report!C5</f>
        <v>EV2</v>
      </c>
      <c r="Z9" s="104" t="s">
        <v>27</v>
      </c>
      <c r="AA9" s="104" t="s">
        <v>45</v>
      </c>
      <c r="AB9" s="104" t="str">
        <f>Report!C6</f>
        <v>EV3</v>
      </c>
      <c r="AC9" s="104" t="s">
        <v>27</v>
      </c>
      <c r="AD9" s="104" t="s">
        <v>45</v>
      </c>
      <c r="AE9" s="104" t="str">
        <f>Report!C7</f>
        <v>EV4</v>
      </c>
      <c r="AF9" s="104" t="s">
        <v>27</v>
      </c>
      <c r="AG9" s="104" t="s">
        <v>45</v>
      </c>
      <c r="AH9" s="103"/>
      <c r="AI9" s="108"/>
      <c r="AJ9" s="108"/>
      <c r="AK9" s="108"/>
      <c r="AL9" s="108"/>
      <c r="AM9" s="108"/>
      <c r="AN9" s="108"/>
      <c r="AO9" s="108"/>
      <c r="AP9" s="108"/>
      <c r="AQ9" s="108"/>
      <c r="AR9" s="108"/>
      <c r="AS9" s="108"/>
      <c r="AT9" s="108"/>
      <c r="AU9" s="108"/>
      <c r="AV9" s="108"/>
      <c r="AW9" s="108"/>
      <c r="AX9" s="108"/>
      <c r="AY9" s="108"/>
      <c r="AZ9" s="108"/>
      <c r="BA9" s="108"/>
      <c r="BB9" s="108"/>
      <c r="BC9" s="108"/>
      <c r="BD9" s="108"/>
      <c r="BE9" s="108"/>
      <c r="BF9" s="108"/>
      <c r="BG9" s="108"/>
      <c r="BH9" s="108"/>
      <c r="BI9" s="108"/>
      <c r="BJ9" s="108"/>
      <c r="BK9" s="108"/>
      <c r="BL9" s="108"/>
      <c r="BM9" s="108"/>
      <c r="BN9" s="108"/>
      <c r="BO9" s="108"/>
      <c r="BP9" s="108"/>
      <c r="BQ9" s="108"/>
      <c r="BR9" s="108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</row>
    <row r="10" spans="1:100" ht="204.75">
      <c r="A10" s="33" t="str">
        <f>IF(G10&lt;&gt;"",""&amp;TEXT($B$1,"##")&amp;"-"&amp; (ROW()-5)-COUNTBLANK(G$8:G10),"")</f>
        <v>Module 1-4</v>
      </c>
      <c r="B10" s="33" t="s">
        <v>46</v>
      </c>
      <c r="C10" s="33" t="s">
        <v>47</v>
      </c>
      <c r="D10" s="33" t="s">
        <v>48</v>
      </c>
      <c r="E10" s="34"/>
      <c r="F10" s="34" t="s">
        <v>49</v>
      </c>
      <c r="G10" s="35" t="s">
        <v>24</v>
      </c>
      <c r="H10" s="105"/>
      <c r="I10" s="105"/>
      <c r="J10" s="105"/>
      <c r="K10" s="106"/>
      <c r="L10" s="105"/>
      <c r="M10" s="105"/>
      <c r="N10" s="105"/>
      <c r="O10" s="105"/>
      <c r="P10" s="105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07"/>
      <c r="AD10" s="107"/>
      <c r="AE10" s="107"/>
      <c r="AF10" s="107"/>
      <c r="AG10" s="107"/>
      <c r="AH10" s="107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</row>
    <row r="11" spans="1:100" ht="15.75">
      <c r="A11" s="33" t="str">
        <f>IF(G11&lt;&gt;"",""&amp;TEXT($B$1,"##")&amp;"-"&amp; (ROW()-5)-COUNTBLANK(G$8:G11),"")</f>
        <v>Module 1-5</v>
      </c>
      <c r="B11" s="33"/>
      <c r="C11" s="33"/>
      <c r="D11" s="33"/>
      <c r="E11" s="34"/>
      <c r="F11" s="34"/>
      <c r="G11" s="35" t="s">
        <v>25</v>
      </c>
      <c r="H11" s="105"/>
      <c r="I11" s="105"/>
      <c r="J11" s="105"/>
      <c r="K11" s="106"/>
      <c r="L11" s="105"/>
      <c r="M11" s="105"/>
      <c r="N11" s="105"/>
      <c r="O11" s="105"/>
      <c r="P11" s="105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</row>
    <row r="12" spans="1:100" ht="15.75">
      <c r="A12" s="33" t="str">
        <f>IF(G12&lt;&gt;"",""&amp;TEXT($B$1,"##")&amp;"-"&amp; (ROW()-5)-COUNTBLANK(G$8:G12),"")</f>
        <v>Module 1-6</v>
      </c>
      <c r="B12" s="33"/>
      <c r="C12" s="33"/>
      <c r="D12" s="33"/>
      <c r="E12" s="34"/>
      <c r="F12" s="34"/>
      <c r="G12" s="35" t="s">
        <v>26</v>
      </c>
      <c r="H12" s="105"/>
      <c r="I12" s="105"/>
      <c r="J12" s="105"/>
      <c r="K12" s="106"/>
      <c r="L12" s="105"/>
      <c r="M12" s="105"/>
      <c r="N12" s="105"/>
      <c r="O12" s="105"/>
      <c r="P12" s="105"/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7"/>
      <c r="AH12" s="107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</row>
    <row r="13" spans="1:100" ht="15.75">
      <c r="A13" s="33" t="str">
        <f>IF(G13&lt;&gt;"",""&amp;TEXT($B$1,"##")&amp;"-"&amp; (ROW()-5)-COUNTBLANK(G$8:G13),"")</f>
        <v/>
      </c>
      <c r="B13" s="33"/>
      <c r="C13" s="33"/>
      <c r="E13" s="34"/>
      <c r="F13" s="34"/>
      <c r="G13" s="35"/>
      <c r="H13" s="105"/>
      <c r="I13" s="105"/>
      <c r="J13" s="105"/>
      <c r="K13" s="106"/>
      <c r="L13" s="105"/>
      <c r="M13" s="105"/>
      <c r="N13" s="105"/>
      <c r="O13" s="105"/>
      <c r="P13" s="105"/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  <c r="AB13" s="107"/>
      <c r="AC13" s="107"/>
      <c r="AD13" s="107"/>
      <c r="AE13" s="107"/>
      <c r="AF13" s="107"/>
      <c r="AG13" s="107"/>
      <c r="AH13" s="107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</row>
    <row r="14" spans="1:100" ht="15.75">
      <c r="A14" s="33" t="str">
        <f>IF(G14&lt;&gt;"",""&amp;TEXT($B$1,"##")&amp;"-"&amp; (ROW()-5)-COUNTBLANK(G$8:G14),"")</f>
        <v/>
      </c>
      <c r="B14" s="33"/>
      <c r="C14" s="33"/>
      <c r="D14" s="33"/>
      <c r="E14" s="34"/>
      <c r="F14" s="34"/>
      <c r="G14" s="35"/>
      <c r="H14" s="105"/>
      <c r="I14" s="105"/>
      <c r="J14" s="105"/>
      <c r="K14" s="106"/>
      <c r="L14" s="105"/>
      <c r="M14" s="105"/>
      <c r="N14" s="105"/>
      <c r="O14" s="105"/>
      <c r="P14" s="105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</row>
    <row r="15" spans="1:100" ht="15.75">
      <c r="A15" s="33" t="str">
        <f>IF(G15&lt;&gt;"",""&amp;TEXT($B$1,"##")&amp;"-"&amp; (ROW()-5)-COUNTBLANK(G$8:G15),"")</f>
        <v/>
      </c>
      <c r="B15" s="33"/>
      <c r="C15" s="33"/>
      <c r="D15" s="33"/>
      <c r="E15" s="34"/>
      <c r="F15" s="34"/>
      <c r="G15" s="35"/>
      <c r="H15" s="105"/>
      <c r="I15" s="105"/>
      <c r="J15" s="105"/>
      <c r="K15" s="106"/>
      <c r="L15" s="105"/>
      <c r="M15" s="105"/>
      <c r="N15" s="105"/>
      <c r="O15" s="105"/>
      <c r="P15" s="105"/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</row>
    <row r="16" spans="1:100" ht="15.75">
      <c r="A16" s="33" t="str">
        <f>IF(G16&lt;&gt;"",""&amp;TEXT($B$1,"##")&amp;"-"&amp; (ROW()-5)-COUNTBLANK(G$8:G16),"")</f>
        <v/>
      </c>
      <c r="B16" s="33"/>
      <c r="C16" s="33"/>
      <c r="D16" s="33"/>
      <c r="E16" s="34"/>
      <c r="F16" s="34"/>
      <c r="G16" s="35"/>
      <c r="H16" s="105"/>
      <c r="I16" s="105"/>
      <c r="J16" s="105"/>
      <c r="K16" s="106"/>
      <c r="L16" s="105"/>
      <c r="M16" s="105"/>
      <c r="N16" s="105"/>
      <c r="O16" s="105"/>
      <c r="P16" s="105"/>
      <c r="Q16" s="107"/>
      <c r="R16" s="107"/>
      <c r="S16" s="107"/>
      <c r="T16" s="107"/>
      <c r="U16" s="107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</row>
    <row r="17" spans="1:100" ht="15.75">
      <c r="A17" s="33"/>
      <c r="B17" s="33"/>
      <c r="C17" s="33"/>
      <c r="D17" s="33"/>
      <c r="E17" s="34"/>
      <c r="F17" s="34"/>
      <c r="G17" s="35"/>
      <c r="H17" s="105"/>
      <c r="I17" s="105"/>
      <c r="J17" s="105"/>
      <c r="K17" s="106"/>
      <c r="L17" s="105"/>
      <c r="M17" s="105"/>
      <c r="N17" s="105"/>
      <c r="O17" s="105"/>
      <c r="P17" s="105"/>
      <c r="Q17" s="107"/>
      <c r="R17" s="107"/>
      <c r="S17" s="107"/>
      <c r="T17" s="107"/>
      <c r="U17" s="107"/>
      <c r="V17" s="107"/>
      <c r="W17" s="1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</row>
    <row r="18" spans="1:100" ht="15.75">
      <c r="A18" s="33"/>
      <c r="B18" s="33"/>
      <c r="C18" s="33"/>
      <c r="D18" s="33"/>
      <c r="E18" s="34"/>
      <c r="F18" s="34"/>
      <c r="G18" s="35"/>
      <c r="H18" s="105"/>
      <c r="I18" s="105"/>
      <c r="J18" s="105"/>
      <c r="K18" s="106"/>
      <c r="L18" s="105"/>
      <c r="M18" s="105"/>
      <c r="N18" s="105"/>
      <c r="O18" s="105"/>
      <c r="P18" s="105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</row>
    <row r="19" spans="1:100" ht="15.75">
      <c r="A19" s="33"/>
      <c r="B19" s="33"/>
      <c r="C19" s="33"/>
      <c r="D19" s="33"/>
      <c r="E19" s="34"/>
      <c r="F19" s="34"/>
      <c r="G19" s="35"/>
      <c r="H19" s="105"/>
      <c r="I19" s="105"/>
      <c r="J19" s="105"/>
      <c r="K19" s="106"/>
      <c r="L19" s="105"/>
      <c r="M19" s="105"/>
      <c r="N19" s="105"/>
      <c r="O19" s="105"/>
      <c r="P19" s="105"/>
      <c r="Q19" s="107"/>
      <c r="R19" s="107"/>
      <c r="S19" s="107"/>
      <c r="T19" s="107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</row>
    <row r="20" spans="1:100" ht="15.75">
      <c r="A20" s="33"/>
      <c r="B20" s="36"/>
      <c r="C20" s="36"/>
      <c r="D20" s="37"/>
      <c r="E20" s="37"/>
      <c r="F20" s="36"/>
      <c r="G20" s="35"/>
      <c r="H20" s="105"/>
      <c r="I20" s="105"/>
      <c r="J20" s="105"/>
      <c r="K20" s="106"/>
      <c r="L20" s="105"/>
      <c r="M20" s="105"/>
      <c r="N20" s="105"/>
      <c r="O20" s="105"/>
      <c r="P20" s="105"/>
      <c r="Q20" s="107"/>
      <c r="R20" s="107"/>
      <c r="S20" s="107"/>
      <c r="T20" s="107"/>
      <c r="U20" s="107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</row>
    <row r="21" spans="1:100" ht="15.75">
      <c r="A21" s="33"/>
      <c r="B21" s="36"/>
      <c r="C21" s="36"/>
      <c r="D21" s="36"/>
      <c r="E21" s="36"/>
      <c r="F21" s="36"/>
      <c r="G21" s="35"/>
      <c r="H21" s="105"/>
      <c r="I21" s="105"/>
      <c r="J21" s="105"/>
      <c r="K21" s="106"/>
      <c r="L21" s="105"/>
      <c r="M21" s="105"/>
      <c r="N21" s="105"/>
      <c r="O21" s="105"/>
      <c r="P21" s="105"/>
      <c r="Q21" s="107"/>
      <c r="R21" s="107"/>
      <c r="S21" s="107"/>
      <c r="T21" s="107"/>
      <c r="U21" s="107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</row>
    <row r="22" spans="1:100" ht="15.75">
      <c r="A22" s="33"/>
      <c r="B22" s="36"/>
      <c r="C22" s="36"/>
      <c r="D22" s="36"/>
      <c r="E22" s="36"/>
      <c r="F22" s="36"/>
      <c r="G22" s="35"/>
      <c r="H22" s="105"/>
      <c r="I22" s="105"/>
      <c r="J22" s="105"/>
      <c r="K22" s="106"/>
      <c r="L22" s="105"/>
      <c r="M22" s="105"/>
      <c r="N22" s="105"/>
      <c r="O22" s="105"/>
      <c r="P22" s="105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42"/>
      <c r="CQ22" s="42"/>
      <c r="CR22" s="42"/>
      <c r="CS22" s="42"/>
      <c r="CT22" s="42"/>
      <c r="CU22" s="42"/>
      <c r="CV22" s="42"/>
    </row>
    <row r="23" spans="1:100" ht="15.75">
      <c r="A23" s="33"/>
      <c r="B23" s="36"/>
      <c r="C23" s="36"/>
      <c r="D23" s="36"/>
      <c r="E23" s="36"/>
      <c r="F23" s="36"/>
      <c r="G23" s="35"/>
      <c r="H23" s="105"/>
      <c r="I23" s="105"/>
      <c r="J23" s="105"/>
      <c r="K23" s="106"/>
      <c r="L23" s="105"/>
      <c r="M23" s="105"/>
      <c r="N23" s="105"/>
      <c r="O23" s="105"/>
      <c r="P23" s="105"/>
      <c r="Q23" s="107"/>
      <c r="R23" s="107"/>
      <c r="S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M23" s="42"/>
      <c r="CN23" s="42"/>
      <c r="CO23" s="42"/>
      <c r="CP23" s="42"/>
      <c r="CQ23" s="42"/>
      <c r="CR23" s="42"/>
      <c r="CS23" s="42"/>
      <c r="CT23" s="42"/>
      <c r="CU23" s="42"/>
      <c r="CV23" s="42"/>
    </row>
    <row r="24" spans="1:100" ht="15.75">
      <c r="A24" s="33"/>
      <c r="B24" s="36"/>
      <c r="C24" s="36"/>
      <c r="D24" s="36"/>
      <c r="E24" s="36"/>
      <c r="F24" s="36"/>
      <c r="G24" s="35"/>
      <c r="H24" s="105"/>
      <c r="I24" s="105"/>
      <c r="J24" s="105"/>
      <c r="K24" s="106"/>
      <c r="L24" s="105"/>
      <c r="M24" s="105"/>
      <c r="N24" s="105"/>
      <c r="O24" s="105"/>
      <c r="P24" s="105"/>
      <c r="Q24" s="107"/>
      <c r="R24" s="107"/>
      <c r="S24" s="107"/>
      <c r="T24" s="107"/>
      <c r="U24" s="107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M24" s="42"/>
      <c r="CN24" s="42"/>
      <c r="CO24" s="42"/>
      <c r="CP24" s="42"/>
      <c r="CQ24" s="42"/>
      <c r="CR24" s="42"/>
      <c r="CS24" s="42"/>
      <c r="CT24" s="42"/>
      <c r="CU24" s="42"/>
      <c r="CV24" s="42"/>
    </row>
    <row r="25" spans="1:100" ht="15.75">
      <c r="A25" s="33"/>
      <c r="B25" s="36"/>
      <c r="C25" s="36"/>
      <c r="D25" s="36"/>
      <c r="E25" s="36"/>
      <c r="F25" s="36"/>
      <c r="G25" s="35"/>
      <c r="H25" s="105"/>
      <c r="I25" s="105"/>
      <c r="J25" s="105"/>
      <c r="K25" s="106"/>
      <c r="L25" s="105"/>
      <c r="M25" s="105"/>
      <c r="N25" s="105"/>
      <c r="O25" s="105"/>
      <c r="P25" s="105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42"/>
      <c r="CQ25" s="42"/>
      <c r="CR25" s="42"/>
      <c r="CS25" s="42"/>
      <c r="CT25" s="42"/>
      <c r="CU25" s="42"/>
      <c r="CV25" s="42"/>
    </row>
    <row r="26" spans="1:100" ht="15.75">
      <c r="A26" s="33"/>
      <c r="B26" s="36"/>
      <c r="C26" s="36"/>
      <c r="D26" s="36"/>
      <c r="E26" s="36"/>
      <c r="F26" s="36"/>
      <c r="G26" s="35"/>
      <c r="H26" s="105"/>
      <c r="I26" s="105"/>
      <c r="J26" s="105"/>
      <c r="K26" s="106"/>
      <c r="L26" s="105"/>
      <c r="M26" s="105"/>
      <c r="N26" s="105"/>
      <c r="O26" s="105"/>
      <c r="P26" s="105"/>
      <c r="Q26" s="107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2"/>
      <c r="BR26" s="42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/>
      <c r="CV26" s="42"/>
    </row>
    <row r="27" spans="1:100" ht="15.75">
      <c r="A27" s="33"/>
      <c r="B27" s="36"/>
      <c r="C27" s="36"/>
      <c r="D27" s="36"/>
      <c r="E27" s="36"/>
      <c r="F27" s="36"/>
      <c r="G27" s="35"/>
      <c r="H27" s="105"/>
      <c r="I27" s="105"/>
      <c r="J27" s="105"/>
      <c r="K27" s="106"/>
      <c r="L27" s="105"/>
      <c r="M27" s="105"/>
      <c r="N27" s="105"/>
      <c r="O27" s="105"/>
      <c r="P27" s="105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</row>
    <row r="28" spans="1:100" ht="15.75">
      <c r="A28" s="33"/>
      <c r="B28" s="36"/>
      <c r="C28" s="36"/>
      <c r="D28" s="36"/>
      <c r="E28" s="36"/>
      <c r="F28" s="36"/>
      <c r="G28" s="35"/>
      <c r="H28" s="105"/>
      <c r="I28" s="105"/>
      <c r="J28" s="105"/>
      <c r="K28" s="106"/>
      <c r="L28" s="105"/>
      <c r="M28" s="105"/>
      <c r="N28" s="105"/>
      <c r="O28" s="105"/>
      <c r="P28" s="105"/>
      <c r="Q28" s="107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</row>
    <row r="29" spans="1:100" ht="15.75">
      <c r="A29" s="33"/>
      <c r="B29" s="36"/>
      <c r="C29" s="36"/>
      <c r="D29" s="36"/>
      <c r="E29" s="36"/>
      <c r="F29" s="36"/>
      <c r="G29" s="35"/>
      <c r="H29" s="105"/>
      <c r="I29" s="105"/>
      <c r="J29" s="105"/>
      <c r="K29" s="106"/>
      <c r="L29" s="105"/>
      <c r="M29" s="105"/>
      <c r="N29" s="105"/>
      <c r="O29" s="105"/>
      <c r="P29" s="105"/>
      <c r="Q29" s="107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42"/>
      <c r="BW29" s="42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  <c r="CM29" s="42"/>
      <c r="CN29" s="42"/>
      <c r="CO29" s="42"/>
      <c r="CP29" s="42"/>
      <c r="CQ29" s="42"/>
      <c r="CR29" s="42"/>
      <c r="CS29" s="42"/>
      <c r="CT29" s="42"/>
      <c r="CU29" s="42"/>
      <c r="CV29" s="42"/>
    </row>
    <row r="30" spans="1:100" ht="15.75">
      <c r="A30" s="33"/>
      <c r="B30" s="36"/>
      <c r="C30" s="36"/>
      <c r="D30" s="36"/>
      <c r="E30" s="36"/>
      <c r="F30" s="36"/>
      <c r="G30" s="35"/>
      <c r="H30" s="105"/>
      <c r="I30" s="105"/>
      <c r="J30" s="105"/>
      <c r="K30" s="106"/>
      <c r="L30" s="105"/>
      <c r="M30" s="105"/>
      <c r="N30" s="105"/>
      <c r="O30" s="105"/>
      <c r="P30" s="105"/>
      <c r="Q30" s="107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/>
      <c r="CV30" s="42"/>
    </row>
    <row r="31" spans="1:100" ht="15.75">
      <c r="A31" s="33"/>
      <c r="B31" s="36"/>
      <c r="C31" s="36"/>
      <c r="D31" s="36"/>
      <c r="E31" s="36"/>
      <c r="F31" s="36"/>
      <c r="G31" s="35"/>
      <c r="H31" s="105"/>
      <c r="I31" s="105"/>
      <c r="J31" s="105"/>
      <c r="K31" s="106"/>
      <c r="L31" s="105"/>
      <c r="M31" s="105"/>
      <c r="N31" s="105"/>
      <c r="O31" s="105"/>
      <c r="P31" s="105"/>
      <c r="Q31" s="107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2"/>
      <c r="BR31" s="42"/>
      <c r="BS31" s="42"/>
      <c r="BT31" s="42"/>
      <c r="BU31" s="42"/>
      <c r="BV31" s="42"/>
      <c r="BW31" s="42"/>
      <c r="BX31" s="42"/>
      <c r="BY31" s="42"/>
      <c r="BZ31" s="42"/>
      <c r="CA31" s="42"/>
      <c r="CB31" s="42"/>
      <c r="CC31" s="42"/>
      <c r="CD31" s="42"/>
      <c r="CE31" s="42"/>
      <c r="CF31" s="42"/>
      <c r="CG31" s="42"/>
      <c r="CH31" s="42"/>
      <c r="CI31" s="42"/>
      <c r="CJ31" s="42"/>
      <c r="CK31" s="42"/>
      <c r="CL31" s="42"/>
      <c r="CM31" s="42"/>
      <c r="CN31" s="42"/>
      <c r="CO31" s="42"/>
      <c r="CP31" s="42"/>
      <c r="CQ31" s="42"/>
      <c r="CR31" s="42"/>
      <c r="CS31" s="42"/>
      <c r="CT31" s="42"/>
      <c r="CU31" s="42"/>
      <c r="CV31" s="42"/>
    </row>
    <row r="32" spans="1:100" ht="15.75">
      <c r="A32" s="33"/>
      <c r="B32" s="36"/>
      <c r="C32" s="36"/>
      <c r="D32" s="36"/>
      <c r="E32" s="36"/>
      <c r="F32" s="36"/>
      <c r="G32" s="35"/>
      <c r="H32" s="105"/>
      <c r="I32" s="105"/>
      <c r="J32" s="105"/>
      <c r="K32" s="106"/>
      <c r="L32" s="105"/>
      <c r="M32" s="105"/>
      <c r="N32" s="105"/>
      <c r="O32" s="105"/>
      <c r="P32" s="105"/>
      <c r="Q32" s="107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42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2"/>
      <c r="BR32" s="42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  <c r="CM32" s="42"/>
      <c r="CN32" s="42"/>
      <c r="CO32" s="42"/>
      <c r="CP32" s="42"/>
      <c r="CQ32" s="42"/>
      <c r="CR32" s="42"/>
      <c r="CS32" s="42"/>
      <c r="CT32" s="42"/>
      <c r="CU32" s="42"/>
      <c r="CV32" s="42"/>
    </row>
    <row r="33" spans="1:100" ht="15.75">
      <c r="A33" s="33"/>
      <c r="B33" s="36"/>
      <c r="C33" s="36"/>
      <c r="D33" s="36"/>
      <c r="E33" s="36"/>
      <c r="F33" s="36"/>
      <c r="G33" s="35"/>
      <c r="H33" s="105"/>
      <c r="I33" s="105"/>
      <c r="J33" s="105"/>
      <c r="K33" s="106"/>
      <c r="L33" s="105"/>
      <c r="M33" s="105"/>
      <c r="N33" s="105"/>
      <c r="O33" s="105"/>
      <c r="P33" s="105"/>
      <c r="Q33" s="107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42"/>
      <c r="BW33" s="42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  <c r="CM33" s="42"/>
      <c r="CN33" s="42"/>
      <c r="CO33" s="42"/>
      <c r="CP33" s="42"/>
      <c r="CQ33" s="42"/>
      <c r="CR33" s="42"/>
      <c r="CS33" s="42"/>
      <c r="CT33" s="42"/>
      <c r="CU33" s="42"/>
      <c r="CV33" s="42"/>
    </row>
    <row r="34" spans="1:100" ht="15.75">
      <c r="A34" s="33"/>
      <c r="B34" s="36"/>
      <c r="C34" s="36"/>
      <c r="D34" s="36"/>
      <c r="E34" s="36"/>
      <c r="F34" s="36"/>
      <c r="G34" s="35"/>
      <c r="H34" s="105"/>
      <c r="I34" s="105"/>
      <c r="J34" s="105"/>
      <c r="K34" s="106"/>
      <c r="L34" s="105"/>
      <c r="M34" s="105"/>
      <c r="N34" s="105"/>
      <c r="O34" s="105"/>
      <c r="P34" s="105"/>
      <c r="Q34" s="107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</row>
    <row r="35" spans="1:100" ht="15.75">
      <c r="A35" s="33"/>
      <c r="B35" s="36"/>
      <c r="C35" s="36"/>
      <c r="D35" s="36"/>
      <c r="E35" s="36"/>
      <c r="F35" s="36"/>
      <c r="G35" s="35"/>
      <c r="H35" s="105"/>
      <c r="I35" s="105"/>
      <c r="J35" s="105"/>
      <c r="K35" s="106"/>
      <c r="L35" s="105"/>
      <c r="M35" s="105"/>
      <c r="N35" s="105"/>
      <c r="O35" s="105"/>
      <c r="P35" s="105"/>
      <c r="Q35" s="107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  <c r="CN35" s="42"/>
      <c r="CO35" s="42"/>
      <c r="CP35" s="42"/>
      <c r="CQ35" s="42"/>
      <c r="CR35" s="42"/>
      <c r="CS35" s="42"/>
      <c r="CT35" s="42"/>
      <c r="CU35" s="42"/>
      <c r="CV35" s="42"/>
    </row>
    <row r="36" spans="1:100" ht="15.75">
      <c r="A36" s="33"/>
      <c r="B36" s="36"/>
      <c r="C36" s="36"/>
      <c r="D36" s="36"/>
      <c r="E36" s="36"/>
      <c r="F36" s="36"/>
      <c r="G36" s="35"/>
      <c r="H36" s="105"/>
      <c r="I36" s="105"/>
      <c r="J36" s="105"/>
      <c r="K36" s="106"/>
      <c r="L36" s="105"/>
      <c r="M36" s="105"/>
      <c r="N36" s="105"/>
      <c r="O36" s="105"/>
      <c r="P36" s="105"/>
      <c r="Q36" s="107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</row>
    <row r="37" spans="1:100" ht="15.75">
      <c r="A37" s="33"/>
      <c r="B37" s="36"/>
      <c r="C37" s="36"/>
      <c r="D37" s="36"/>
      <c r="E37" s="36"/>
      <c r="F37" s="36"/>
      <c r="G37" s="35"/>
      <c r="H37" s="105"/>
      <c r="I37" s="105"/>
      <c r="J37" s="105"/>
      <c r="K37" s="106"/>
      <c r="L37" s="105"/>
      <c r="M37" s="105"/>
      <c r="N37" s="105"/>
      <c r="O37" s="105"/>
      <c r="P37" s="105"/>
      <c r="Q37" s="107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  <c r="CN37" s="42"/>
      <c r="CO37" s="42"/>
      <c r="CP37" s="42"/>
      <c r="CQ37" s="42"/>
      <c r="CR37" s="42"/>
      <c r="CS37" s="42"/>
      <c r="CT37" s="42"/>
      <c r="CU37" s="42"/>
      <c r="CV37" s="42"/>
    </row>
    <row r="38" spans="1:100" ht="15.75">
      <c r="A38" s="33"/>
      <c r="B38" s="36"/>
      <c r="C38" s="36"/>
      <c r="D38" s="36"/>
      <c r="E38" s="36"/>
      <c r="F38" s="36"/>
      <c r="G38" s="35"/>
      <c r="H38" s="105"/>
      <c r="I38" s="105"/>
      <c r="J38" s="105"/>
      <c r="K38" s="106"/>
      <c r="L38" s="105"/>
      <c r="M38" s="105"/>
      <c r="N38" s="105"/>
      <c r="O38" s="105"/>
      <c r="P38" s="105"/>
      <c r="Q38" s="107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</row>
    <row r="39" spans="1:100" ht="15.75">
      <c r="A39" s="33"/>
      <c r="B39" s="36"/>
      <c r="C39" s="36"/>
      <c r="D39" s="36"/>
      <c r="E39" s="36"/>
      <c r="F39" s="36"/>
      <c r="G39" s="35"/>
      <c r="H39" s="105"/>
      <c r="I39" s="105"/>
      <c r="J39" s="105"/>
      <c r="K39" s="106"/>
      <c r="L39" s="105"/>
      <c r="M39" s="105"/>
      <c r="N39" s="105"/>
      <c r="O39" s="105"/>
      <c r="P39" s="105"/>
      <c r="Q39" s="107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2"/>
      <c r="BR39" s="42"/>
      <c r="BS39" s="42"/>
      <c r="BT39" s="42"/>
      <c r="BU39" s="42"/>
      <c r="BV39" s="42"/>
      <c r="BW39" s="42"/>
      <c r="BX39" s="42"/>
      <c r="BY39" s="42"/>
      <c r="BZ39" s="42"/>
      <c r="CA39" s="42"/>
      <c r="CB39" s="42"/>
      <c r="CC39" s="42"/>
      <c r="CD39" s="42"/>
      <c r="CE39" s="42"/>
      <c r="CF39" s="42"/>
      <c r="CG39" s="42"/>
      <c r="CH39" s="42"/>
      <c r="CI39" s="42"/>
      <c r="CJ39" s="42"/>
      <c r="CK39" s="42"/>
      <c r="CL39" s="42"/>
      <c r="CM39" s="42"/>
      <c r="CN39" s="42"/>
      <c r="CO39" s="42"/>
      <c r="CP39" s="42"/>
      <c r="CQ39" s="42"/>
      <c r="CR39" s="42"/>
      <c r="CS39" s="42"/>
      <c r="CT39" s="42"/>
      <c r="CU39" s="42"/>
      <c r="CV39" s="42"/>
    </row>
    <row r="40" spans="1:100" ht="15.75">
      <c r="A40" s="33"/>
      <c r="B40" s="36"/>
      <c r="C40" s="36"/>
      <c r="D40" s="36"/>
      <c r="E40" s="36"/>
      <c r="F40" s="36"/>
      <c r="G40" s="35"/>
      <c r="H40" s="105"/>
      <c r="I40" s="105"/>
      <c r="J40" s="105"/>
      <c r="K40" s="106"/>
      <c r="L40" s="105"/>
      <c r="M40" s="105"/>
      <c r="N40" s="105"/>
      <c r="O40" s="105"/>
      <c r="P40" s="105"/>
      <c r="Q40" s="107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42"/>
      <c r="BT40" s="42"/>
      <c r="BU40" s="42"/>
      <c r="BV40" s="42"/>
      <c r="BW40" s="42"/>
      <c r="BX40" s="42"/>
      <c r="BY40" s="42"/>
      <c r="BZ40" s="42"/>
      <c r="CA40" s="42"/>
      <c r="CB40" s="42"/>
      <c r="CC40" s="42"/>
      <c r="CD40" s="42"/>
      <c r="CE40" s="42"/>
      <c r="CF40" s="42"/>
      <c r="CG40" s="42"/>
      <c r="CH40" s="42"/>
      <c r="CI40" s="42"/>
      <c r="CJ40" s="42"/>
      <c r="CK40" s="42"/>
      <c r="CL40" s="42"/>
      <c r="CM40" s="42"/>
      <c r="CN40" s="42"/>
      <c r="CO40" s="42"/>
      <c r="CP40" s="42"/>
      <c r="CQ40" s="42"/>
      <c r="CR40" s="42"/>
      <c r="CS40" s="42"/>
      <c r="CT40" s="42"/>
      <c r="CU40" s="42"/>
      <c r="CV40" s="42"/>
    </row>
    <row r="41" spans="1:100" ht="15.75">
      <c r="A41" s="33"/>
      <c r="B41" s="36"/>
      <c r="C41" s="36"/>
      <c r="D41" s="36"/>
      <c r="E41" s="36"/>
      <c r="F41" s="36"/>
      <c r="G41" s="35"/>
      <c r="H41" s="105"/>
      <c r="I41" s="105"/>
      <c r="J41" s="105"/>
      <c r="K41" s="106"/>
      <c r="L41" s="105"/>
      <c r="M41" s="105"/>
      <c r="N41" s="105"/>
      <c r="O41" s="105"/>
      <c r="P41" s="105"/>
      <c r="Q41" s="107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2"/>
      <c r="BU41" s="42"/>
      <c r="BV41" s="42"/>
      <c r="BW41" s="42"/>
      <c r="BX41" s="42"/>
      <c r="BY41" s="42"/>
      <c r="BZ41" s="42"/>
      <c r="CA41" s="42"/>
      <c r="CB41" s="42"/>
      <c r="CC41" s="42"/>
      <c r="CD41" s="42"/>
      <c r="CE41" s="42"/>
      <c r="CF41" s="42"/>
      <c r="CG41" s="42"/>
      <c r="CH41" s="42"/>
      <c r="CI41" s="42"/>
      <c r="CJ41" s="42"/>
      <c r="CK41" s="42"/>
      <c r="CL41" s="42"/>
      <c r="CM41" s="42"/>
      <c r="CN41" s="42"/>
      <c r="CO41" s="42"/>
      <c r="CP41" s="42"/>
      <c r="CQ41" s="42"/>
      <c r="CR41" s="42"/>
      <c r="CS41" s="42"/>
      <c r="CT41" s="42"/>
      <c r="CU41" s="42"/>
      <c r="CV41" s="42"/>
    </row>
    <row r="42" spans="1:100" ht="15.75">
      <c r="A42" s="33"/>
      <c r="B42" s="36"/>
      <c r="C42" s="36"/>
      <c r="D42" s="36"/>
      <c r="E42" s="36"/>
      <c r="F42" s="36"/>
      <c r="G42" s="35"/>
      <c r="H42" s="105"/>
      <c r="I42" s="105"/>
      <c r="J42" s="105"/>
      <c r="K42" s="106"/>
      <c r="L42" s="105"/>
      <c r="M42" s="105"/>
      <c r="N42" s="105"/>
      <c r="O42" s="105"/>
      <c r="P42" s="105"/>
      <c r="Q42" s="107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R42" s="42"/>
      <c r="BS42" s="42"/>
      <c r="BT42" s="42"/>
      <c r="BU42" s="42"/>
      <c r="BV42" s="42"/>
      <c r="BW42" s="42"/>
      <c r="BX42" s="42"/>
      <c r="BY42" s="42"/>
      <c r="BZ42" s="42"/>
      <c r="CA42" s="42"/>
      <c r="CB42" s="42"/>
      <c r="CC42" s="42"/>
      <c r="CD42" s="42"/>
      <c r="CE42" s="42"/>
      <c r="CF42" s="42"/>
      <c r="CG42" s="42"/>
      <c r="CH42" s="42"/>
      <c r="CI42" s="42"/>
      <c r="CJ42" s="42"/>
      <c r="CK42" s="42"/>
      <c r="CL42" s="42"/>
      <c r="CM42" s="42"/>
      <c r="CN42" s="42"/>
      <c r="CO42" s="42"/>
      <c r="CP42" s="42"/>
      <c r="CQ42" s="42"/>
      <c r="CR42" s="42"/>
      <c r="CS42" s="42"/>
      <c r="CT42" s="42"/>
      <c r="CU42" s="42"/>
      <c r="CV42" s="42"/>
    </row>
    <row r="43" spans="1:100" ht="15.75">
      <c r="A43" s="33"/>
      <c r="B43" s="36"/>
      <c r="C43" s="36"/>
      <c r="D43" s="36"/>
      <c r="E43" s="36"/>
      <c r="F43" s="36"/>
      <c r="G43" s="35"/>
      <c r="H43" s="105"/>
      <c r="I43" s="105"/>
      <c r="J43" s="105"/>
      <c r="K43" s="106"/>
      <c r="L43" s="105"/>
      <c r="M43" s="105"/>
      <c r="N43" s="105"/>
      <c r="O43" s="105"/>
      <c r="P43" s="105"/>
      <c r="Q43" s="107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2"/>
      <c r="BR43" s="42"/>
      <c r="BS43" s="42"/>
      <c r="BT43" s="42"/>
      <c r="BU43" s="42"/>
      <c r="BV43" s="42"/>
      <c r="BW43" s="42"/>
      <c r="BX43" s="42"/>
      <c r="BY43" s="42"/>
      <c r="BZ43" s="42"/>
      <c r="CA43" s="42"/>
      <c r="CB43" s="42"/>
      <c r="CC43" s="42"/>
      <c r="CD43" s="42"/>
      <c r="CE43" s="42"/>
      <c r="CF43" s="42"/>
      <c r="CG43" s="42"/>
      <c r="CH43" s="42"/>
      <c r="CI43" s="42"/>
      <c r="CJ43" s="42"/>
      <c r="CK43" s="42"/>
      <c r="CL43" s="42"/>
      <c r="CM43" s="42"/>
      <c r="CN43" s="42"/>
      <c r="CO43" s="42"/>
      <c r="CP43" s="42"/>
      <c r="CQ43" s="42"/>
      <c r="CR43" s="42"/>
      <c r="CS43" s="42"/>
      <c r="CT43" s="42"/>
      <c r="CU43" s="42"/>
      <c r="CV43" s="42"/>
    </row>
    <row r="44" spans="1:100" ht="15.75">
      <c r="A44" s="33"/>
      <c r="B44" s="36"/>
      <c r="C44" s="36"/>
      <c r="D44" s="36"/>
      <c r="E44" s="36"/>
      <c r="F44" s="36"/>
      <c r="G44" s="35"/>
      <c r="H44" s="105"/>
      <c r="I44" s="105"/>
      <c r="J44" s="105"/>
      <c r="K44" s="106"/>
      <c r="L44" s="105"/>
      <c r="M44" s="105"/>
      <c r="N44" s="105"/>
      <c r="O44" s="105"/>
      <c r="P44" s="105"/>
      <c r="Q44" s="107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2"/>
      <c r="BR44" s="42"/>
      <c r="BS44" s="42"/>
      <c r="BT44" s="42"/>
      <c r="BU44" s="42"/>
      <c r="BV44" s="42"/>
      <c r="BW44" s="42"/>
      <c r="BX44" s="42"/>
      <c r="BY44" s="42"/>
      <c r="BZ44" s="42"/>
      <c r="CA44" s="42"/>
      <c r="CB44" s="42"/>
      <c r="CC44" s="42"/>
      <c r="CD44" s="42"/>
      <c r="CE44" s="42"/>
      <c r="CF44" s="42"/>
      <c r="CG44" s="42"/>
      <c r="CH44" s="42"/>
      <c r="CI44" s="42"/>
      <c r="CJ44" s="42"/>
      <c r="CK44" s="42"/>
      <c r="CL44" s="42"/>
      <c r="CM44" s="42"/>
      <c r="CN44" s="42"/>
      <c r="CO44" s="42"/>
      <c r="CP44" s="42"/>
      <c r="CQ44" s="42"/>
      <c r="CR44" s="42"/>
      <c r="CS44" s="42"/>
      <c r="CT44" s="42"/>
      <c r="CU44" s="42"/>
      <c r="CV44" s="42"/>
    </row>
    <row r="45" spans="1:100" ht="15.75">
      <c r="A45" s="33"/>
      <c r="B45" s="36"/>
      <c r="C45" s="36"/>
      <c r="D45" s="36"/>
      <c r="E45" s="36"/>
      <c r="F45" s="36"/>
      <c r="G45" s="35"/>
      <c r="H45" s="105"/>
      <c r="I45" s="105"/>
      <c r="J45" s="105"/>
      <c r="K45" s="106"/>
      <c r="L45" s="105"/>
      <c r="M45" s="105"/>
      <c r="N45" s="105"/>
      <c r="O45" s="105"/>
      <c r="P45" s="105"/>
      <c r="Q45" s="107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R45" s="42"/>
      <c r="BS45" s="42"/>
      <c r="BT45" s="42"/>
      <c r="BU45" s="42"/>
      <c r="BV45" s="42"/>
      <c r="BW45" s="42"/>
      <c r="BX45" s="42"/>
      <c r="BY45" s="42"/>
      <c r="BZ45" s="42"/>
      <c r="CA45" s="42"/>
      <c r="CB45" s="42"/>
      <c r="CC45" s="42"/>
      <c r="CD45" s="42"/>
      <c r="CE45" s="42"/>
      <c r="CF45" s="42"/>
      <c r="CG45" s="42"/>
      <c r="CH45" s="42"/>
      <c r="CI45" s="42"/>
      <c r="CJ45" s="42"/>
      <c r="CK45" s="42"/>
      <c r="CL45" s="42"/>
      <c r="CM45" s="42"/>
      <c r="CN45" s="42"/>
      <c r="CO45" s="42"/>
      <c r="CP45" s="42"/>
      <c r="CQ45" s="42"/>
      <c r="CR45" s="42"/>
      <c r="CS45" s="42"/>
      <c r="CT45" s="42"/>
      <c r="CU45" s="42"/>
      <c r="CV45" s="42"/>
    </row>
    <row r="46" spans="1:100" ht="15.75">
      <c r="A46" s="33"/>
      <c r="B46" s="36"/>
      <c r="C46" s="36"/>
      <c r="D46" s="36"/>
      <c r="E46" s="36"/>
      <c r="F46" s="36"/>
      <c r="G46" s="35"/>
      <c r="H46" s="105"/>
      <c r="I46" s="105"/>
      <c r="J46" s="105"/>
      <c r="K46" s="106"/>
      <c r="L46" s="105"/>
      <c r="M46" s="105"/>
      <c r="N46" s="105"/>
      <c r="O46" s="105"/>
      <c r="P46" s="105"/>
      <c r="Q46" s="107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R46" s="42"/>
      <c r="BS46" s="42"/>
      <c r="BT46" s="42"/>
      <c r="BU46" s="42"/>
      <c r="BV46" s="42"/>
      <c r="BW46" s="42"/>
      <c r="BX46" s="42"/>
      <c r="BY46" s="42"/>
      <c r="BZ46" s="42"/>
      <c r="CA46" s="42"/>
      <c r="CB46" s="42"/>
      <c r="CC46" s="42"/>
      <c r="CD46" s="42"/>
      <c r="CE46" s="42"/>
      <c r="CF46" s="42"/>
      <c r="CG46" s="42"/>
      <c r="CH46" s="42"/>
      <c r="CI46" s="42"/>
      <c r="CJ46" s="42"/>
      <c r="CK46" s="42"/>
      <c r="CL46" s="42"/>
      <c r="CM46" s="42"/>
      <c r="CN46" s="42"/>
      <c r="CO46" s="42"/>
      <c r="CP46" s="42"/>
      <c r="CQ46" s="42"/>
      <c r="CR46" s="42"/>
      <c r="CS46" s="42"/>
      <c r="CT46" s="42"/>
      <c r="CU46" s="42"/>
      <c r="CV46" s="42"/>
    </row>
    <row r="47" spans="1:100" ht="15.75">
      <c r="A47" s="33"/>
      <c r="B47" s="36"/>
      <c r="C47" s="36"/>
      <c r="D47" s="36"/>
      <c r="E47" s="36"/>
      <c r="F47" s="36"/>
      <c r="G47" s="35"/>
      <c r="H47" s="105"/>
      <c r="I47" s="105"/>
      <c r="J47" s="105"/>
      <c r="K47" s="106"/>
      <c r="L47" s="105"/>
      <c r="M47" s="105"/>
      <c r="N47" s="105"/>
      <c r="O47" s="105"/>
      <c r="P47" s="105"/>
      <c r="Q47" s="107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42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2"/>
      <c r="BR47" s="42"/>
      <c r="BS47" s="42"/>
      <c r="BT47" s="42"/>
      <c r="BU47" s="42"/>
      <c r="BV47" s="42"/>
      <c r="BW47" s="42"/>
      <c r="BX47" s="42"/>
      <c r="BY47" s="42"/>
      <c r="BZ47" s="42"/>
      <c r="CA47" s="42"/>
      <c r="CB47" s="42"/>
      <c r="CC47" s="42"/>
      <c r="CD47" s="42"/>
      <c r="CE47" s="42"/>
      <c r="CF47" s="42"/>
      <c r="CG47" s="42"/>
      <c r="CH47" s="42"/>
      <c r="CI47" s="42"/>
      <c r="CJ47" s="42"/>
      <c r="CK47" s="42"/>
      <c r="CL47" s="42"/>
      <c r="CM47" s="42"/>
      <c r="CN47" s="42"/>
      <c r="CO47" s="42"/>
      <c r="CP47" s="42"/>
      <c r="CQ47" s="42"/>
      <c r="CR47" s="42"/>
      <c r="CS47" s="42"/>
      <c r="CT47" s="42"/>
      <c r="CU47" s="42"/>
      <c r="CV47" s="42"/>
    </row>
    <row r="48" spans="1:100" ht="15.75">
      <c r="A48" s="33"/>
      <c r="B48" s="36"/>
      <c r="C48" s="36"/>
      <c r="D48" s="36"/>
      <c r="E48" s="36"/>
      <c r="F48" s="36"/>
      <c r="G48" s="35"/>
      <c r="H48" s="105"/>
      <c r="I48" s="105"/>
      <c r="J48" s="105"/>
      <c r="K48" s="106"/>
      <c r="L48" s="105"/>
      <c r="M48" s="105"/>
      <c r="N48" s="105"/>
      <c r="O48" s="105"/>
      <c r="P48" s="105"/>
      <c r="Q48" s="107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2"/>
      <c r="BR48" s="42"/>
      <c r="BS48" s="42"/>
      <c r="BT48" s="42"/>
      <c r="BU48" s="42"/>
      <c r="BV48" s="42"/>
      <c r="BW48" s="42"/>
      <c r="BX48" s="42"/>
      <c r="BY48" s="42"/>
      <c r="BZ48" s="42"/>
      <c r="CA48" s="42"/>
      <c r="CB48" s="42"/>
      <c r="CC48" s="42"/>
      <c r="CD48" s="42"/>
      <c r="CE48" s="42"/>
      <c r="CF48" s="42"/>
      <c r="CG48" s="42"/>
      <c r="CH48" s="42"/>
      <c r="CI48" s="42"/>
      <c r="CJ48" s="42"/>
      <c r="CK48" s="42"/>
      <c r="CL48" s="42"/>
      <c r="CM48" s="42"/>
      <c r="CN48" s="42"/>
      <c r="CO48" s="42"/>
      <c r="CP48" s="42"/>
      <c r="CQ48" s="42"/>
      <c r="CR48" s="42"/>
      <c r="CS48" s="42"/>
      <c r="CT48" s="42"/>
      <c r="CU48" s="42"/>
      <c r="CV48" s="42"/>
    </row>
    <row r="49" spans="1:100" ht="15.75">
      <c r="A49" s="33"/>
      <c r="B49" s="36"/>
      <c r="C49" s="36"/>
      <c r="D49" s="36"/>
      <c r="E49" s="36"/>
      <c r="F49" s="36"/>
      <c r="G49" s="35"/>
      <c r="H49" s="105"/>
      <c r="I49" s="105"/>
      <c r="J49" s="105"/>
      <c r="K49" s="106"/>
      <c r="L49" s="105"/>
      <c r="M49" s="105"/>
      <c r="N49" s="105"/>
      <c r="O49" s="105"/>
      <c r="P49" s="105"/>
      <c r="Q49" s="107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42"/>
      <c r="BV49" s="42"/>
      <c r="BW49" s="42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</row>
    <row r="50" spans="1:100" ht="15.75">
      <c r="A50" s="33"/>
      <c r="B50" s="36"/>
      <c r="C50" s="36"/>
      <c r="D50" s="36"/>
      <c r="E50" s="36"/>
      <c r="F50" s="36"/>
      <c r="G50" s="35"/>
      <c r="H50" s="105"/>
      <c r="I50" s="105"/>
      <c r="J50" s="105"/>
      <c r="K50" s="106"/>
      <c r="L50" s="105"/>
      <c r="M50" s="105"/>
      <c r="N50" s="105"/>
      <c r="O50" s="105"/>
      <c r="P50" s="105"/>
      <c r="Q50" s="107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42"/>
      <c r="BW50" s="42"/>
      <c r="BX50" s="42"/>
      <c r="BY50" s="42"/>
      <c r="BZ50" s="42"/>
      <c r="CA50" s="42"/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  <c r="CM50" s="42"/>
      <c r="CN50" s="42"/>
      <c r="CO50" s="42"/>
      <c r="CP50" s="42"/>
      <c r="CQ50" s="42"/>
      <c r="CR50" s="42"/>
      <c r="CS50" s="42"/>
      <c r="CT50" s="42"/>
      <c r="CU50" s="42"/>
      <c r="CV50" s="42"/>
    </row>
    <row r="51" spans="1:100" ht="15.75">
      <c r="A51" s="33"/>
      <c r="B51" s="36"/>
      <c r="C51" s="36"/>
      <c r="D51" s="36"/>
      <c r="E51" s="36"/>
      <c r="F51" s="36"/>
      <c r="G51" s="35"/>
      <c r="H51" s="105"/>
      <c r="I51" s="105"/>
      <c r="J51" s="105"/>
      <c r="K51" s="106"/>
      <c r="L51" s="105"/>
      <c r="M51" s="105"/>
      <c r="N51" s="105"/>
      <c r="O51" s="105"/>
      <c r="P51" s="105"/>
      <c r="Q51" s="107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2"/>
      <c r="BR51" s="42"/>
      <c r="BS51" s="42"/>
      <c r="BT51" s="42"/>
      <c r="BU51" s="42"/>
      <c r="BV51" s="42"/>
      <c r="BW51" s="42"/>
      <c r="BX51" s="42"/>
      <c r="BY51" s="42"/>
      <c r="BZ51" s="42"/>
      <c r="CA51" s="42"/>
      <c r="CB51" s="42"/>
      <c r="CC51" s="42"/>
      <c r="CD51" s="42"/>
      <c r="CE51" s="42"/>
      <c r="CF51" s="42"/>
      <c r="CG51" s="42"/>
      <c r="CH51" s="42"/>
      <c r="CI51" s="42"/>
      <c r="CJ51" s="42"/>
      <c r="CK51" s="42"/>
      <c r="CL51" s="42"/>
      <c r="CM51" s="42"/>
      <c r="CN51" s="42"/>
      <c r="CO51" s="42"/>
      <c r="CP51" s="42"/>
      <c r="CQ51" s="42"/>
      <c r="CR51" s="42"/>
      <c r="CS51" s="42"/>
      <c r="CT51" s="42"/>
      <c r="CU51" s="42"/>
      <c r="CV51" s="42"/>
    </row>
    <row r="52" spans="1:100" ht="15.75">
      <c r="A52" s="33"/>
      <c r="B52" s="36"/>
      <c r="C52" s="36"/>
      <c r="D52" s="36"/>
      <c r="E52" s="36"/>
      <c r="F52" s="36"/>
      <c r="G52" s="35"/>
      <c r="H52" s="105"/>
      <c r="I52" s="105"/>
      <c r="J52" s="105"/>
      <c r="K52" s="106"/>
      <c r="L52" s="105"/>
      <c r="M52" s="105"/>
      <c r="N52" s="105"/>
      <c r="O52" s="105"/>
      <c r="P52" s="105"/>
      <c r="Q52" s="107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</row>
    <row r="53" spans="1:100" ht="15.75">
      <c r="A53" s="33"/>
      <c r="B53" s="36"/>
      <c r="C53" s="36"/>
      <c r="D53" s="36"/>
      <c r="E53" s="36"/>
      <c r="F53" s="36"/>
      <c r="G53" s="35"/>
      <c r="H53" s="105"/>
      <c r="I53" s="105"/>
      <c r="J53" s="105"/>
      <c r="K53" s="106"/>
      <c r="L53" s="105"/>
      <c r="M53" s="105"/>
      <c r="N53" s="105"/>
      <c r="O53" s="105"/>
      <c r="P53" s="105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42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2"/>
      <c r="BR53" s="42"/>
      <c r="BS53" s="42"/>
      <c r="BT53" s="42"/>
      <c r="BU53" s="42"/>
      <c r="BV53" s="42"/>
      <c r="BW53" s="42"/>
      <c r="BX53" s="42"/>
      <c r="BY53" s="42"/>
      <c r="BZ53" s="42"/>
      <c r="CA53" s="42"/>
      <c r="CB53" s="42"/>
      <c r="CC53" s="42"/>
      <c r="CD53" s="42"/>
      <c r="CE53" s="42"/>
      <c r="CF53" s="42"/>
      <c r="CG53" s="42"/>
      <c r="CH53" s="42"/>
      <c r="CI53" s="42"/>
      <c r="CJ53" s="42"/>
      <c r="CK53" s="42"/>
      <c r="CL53" s="42"/>
      <c r="CM53" s="42"/>
      <c r="CN53" s="42"/>
      <c r="CO53" s="42"/>
      <c r="CP53" s="42"/>
      <c r="CQ53" s="42"/>
      <c r="CR53" s="42"/>
      <c r="CS53" s="42"/>
      <c r="CT53" s="42"/>
      <c r="CU53" s="42"/>
      <c r="CV53" s="42"/>
    </row>
    <row r="54" spans="1:100" ht="15.75">
      <c r="A54" s="33"/>
      <c r="B54" s="36"/>
      <c r="C54" s="36"/>
      <c r="D54" s="36"/>
      <c r="E54" s="36"/>
      <c r="F54" s="36"/>
      <c r="G54" s="35"/>
      <c r="H54" s="105"/>
      <c r="I54" s="105"/>
      <c r="J54" s="105"/>
      <c r="K54" s="106"/>
      <c r="L54" s="105"/>
      <c r="M54" s="105"/>
      <c r="N54" s="105"/>
      <c r="O54" s="105"/>
      <c r="P54" s="105"/>
      <c r="Q54" s="107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2"/>
      <c r="BR54" s="42"/>
      <c r="BS54" s="42"/>
      <c r="BT54" s="42"/>
      <c r="BU54" s="42"/>
      <c r="BV54" s="42"/>
      <c r="BW54" s="42"/>
      <c r="BX54" s="42"/>
      <c r="BY54" s="42"/>
      <c r="BZ54" s="42"/>
      <c r="CA54" s="42"/>
      <c r="CB54" s="42"/>
      <c r="CC54" s="42"/>
      <c r="CD54" s="42"/>
      <c r="CE54" s="42"/>
      <c r="CF54" s="42"/>
      <c r="CG54" s="42"/>
      <c r="CH54" s="42"/>
      <c r="CI54" s="42"/>
      <c r="CJ54" s="42"/>
      <c r="CK54" s="42"/>
      <c r="CL54" s="42"/>
      <c r="CM54" s="42"/>
      <c r="CN54" s="42"/>
      <c r="CO54" s="42"/>
      <c r="CP54" s="42"/>
      <c r="CQ54" s="42"/>
      <c r="CR54" s="42"/>
      <c r="CS54" s="42"/>
      <c r="CT54" s="42"/>
      <c r="CU54" s="42"/>
      <c r="CV54" s="42"/>
    </row>
    <row r="55" spans="1:100" ht="15.75">
      <c r="A55" s="33"/>
      <c r="B55" s="36"/>
      <c r="C55" s="36"/>
      <c r="D55" s="36"/>
      <c r="E55" s="36"/>
      <c r="F55" s="36"/>
      <c r="G55" s="35"/>
      <c r="H55" s="105"/>
      <c r="I55" s="105"/>
      <c r="J55" s="105"/>
      <c r="K55" s="106"/>
      <c r="L55" s="105"/>
      <c r="M55" s="105"/>
      <c r="N55" s="105"/>
      <c r="O55" s="105"/>
      <c r="P55" s="105"/>
      <c r="Q55" s="107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107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42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2"/>
      <c r="BR55" s="42"/>
      <c r="BS55" s="42"/>
      <c r="BT55" s="42"/>
      <c r="BU55" s="42"/>
      <c r="BV55" s="42"/>
      <c r="BW55" s="42"/>
      <c r="BX55" s="42"/>
      <c r="BY55" s="42"/>
      <c r="BZ55" s="42"/>
      <c r="CA55" s="42"/>
      <c r="CB55" s="42"/>
      <c r="CC55" s="42"/>
      <c r="CD55" s="42"/>
      <c r="CE55" s="42"/>
      <c r="CF55" s="42"/>
      <c r="CG55" s="42"/>
      <c r="CH55" s="42"/>
      <c r="CI55" s="42"/>
      <c r="CJ55" s="42"/>
      <c r="CK55" s="42"/>
      <c r="CL55" s="42"/>
      <c r="CM55" s="42"/>
      <c r="CN55" s="42"/>
      <c r="CO55" s="42"/>
      <c r="CP55" s="42"/>
      <c r="CQ55" s="42"/>
      <c r="CR55" s="42"/>
      <c r="CS55" s="42"/>
      <c r="CT55" s="42"/>
      <c r="CU55" s="42"/>
      <c r="CV55" s="42"/>
    </row>
    <row r="56" spans="1:100" ht="15.75">
      <c r="A56" s="33"/>
      <c r="B56" s="36"/>
      <c r="C56" s="36"/>
      <c r="D56" s="36"/>
      <c r="E56" s="36"/>
      <c r="F56" s="36"/>
      <c r="G56" s="35"/>
      <c r="H56" s="105"/>
      <c r="I56" s="105"/>
      <c r="J56" s="105"/>
      <c r="K56" s="106"/>
      <c r="L56" s="105"/>
      <c r="M56" s="105"/>
      <c r="N56" s="105"/>
      <c r="O56" s="105"/>
      <c r="P56" s="105"/>
      <c r="Q56" s="107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2"/>
      <c r="BR56" s="42"/>
      <c r="BS56" s="42"/>
      <c r="BT56" s="42"/>
      <c r="BU56" s="42"/>
      <c r="BV56" s="42"/>
      <c r="BW56" s="42"/>
      <c r="BX56" s="42"/>
      <c r="BY56" s="42"/>
      <c r="BZ56" s="42"/>
      <c r="CA56" s="42"/>
      <c r="CB56" s="42"/>
      <c r="CC56" s="42"/>
      <c r="CD56" s="42"/>
      <c r="CE56" s="42"/>
      <c r="CF56" s="42"/>
      <c r="CG56" s="42"/>
      <c r="CH56" s="42"/>
      <c r="CI56" s="42"/>
      <c r="CJ56" s="42"/>
      <c r="CK56" s="42"/>
      <c r="CL56" s="42"/>
      <c r="CM56" s="42"/>
      <c r="CN56" s="42"/>
      <c r="CO56" s="42"/>
      <c r="CP56" s="42"/>
      <c r="CQ56" s="42"/>
      <c r="CR56" s="42"/>
      <c r="CS56" s="42"/>
      <c r="CT56" s="42"/>
      <c r="CU56" s="42"/>
      <c r="CV56" s="42"/>
    </row>
    <row r="57" spans="1:100" ht="15.75">
      <c r="A57" s="33"/>
      <c r="B57" s="36"/>
      <c r="C57" s="36"/>
      <c r="D57" s="36"/>
      <c r="E57" s="36"/>
      <c r="F57" s="36"/>
      <c r="G57" s="35"/>
      <c r="H57" s="105"/>
      <c r="I57" s="105"/>
      <c r="J57" s="105"/>
      <c r="K57" s="106"/>
      <c r="L57" s="105"/>
      <c r="M57" s="105"/>
      <c r="N57" s="105"/>
      <c r="O57" s="105"/>
      <c r="P57" s="105"/>
      <c r="Q57" s="107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42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2"/>
      <c r="BR57" s="42"/>
      <c r="BS57" s="42"/>
      <c r="BT57" s="42"/>
      <c r="BU57" s="42"/>
      <c r="BV57" s="42"/>
      <c r="BW57" s="42"/>
      <c r="BX57" s="42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2"/>
      <c r="CJ57" s="42"/>
      <c r="CK57" s="42"/>
      <c r="CL57" s="42"/>
      <c r="CM57" s="42"/>
      <c r="CN57" s="42"/>
      <c r="CO57" s="42"/>
      <c r="CP57" s="42"/>
      <c r="CQ57" s="42"/>
      <c r="CR57" s="42"/>
      <c r="CS57" s="42"/>
      <c r="CT57" s="42"/>
      <c r="CU57" s="42"/>
      <c r="CV57" s="42"/>
    </row>
    <row r="58" spans="1:100" ht="15.75">
      <c r="A58" s="33"/>
      <c r="B58" s="36"/>
      <c r="C58" s="36"/>
      <c r="D58" s="36"/>
      <c r="E58" s="36"/>
      <c r="F58" s="36"/>
      <c r="G58" s="35"/>
      <c r="H58" s="105"/>
      <c r="I58" s="105"/>
      <c r="J58" s="105"/>
      <c r="K58" s="106"/>
      <c r="L58" s="105"/>
      <c r="M58" s="105"/>
      <c r="N58" s="105"/>
      <c r="O58" s="105"/>
      <c r="P58" s="105"/>
      <c r="Q58" s="107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42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2"/>
      <c r="BR58" s="42"/>
      <c r="BS58" s="42"/>
      <c r="BT58" s="42"/>
      <c r="BU58" s="42"/>
      <c r="BV58" s="42"/>
      <c r="BW58" s="42"/>
      <c r="BX58" s="42"/>
      <c r="BY58" s="42"/>
      <c r="BZ58" s="42"/>
      <c r="CA58" s="42"/>
      <c r="CB58" s="42"/>
      <c r="CC58" s="42"/>
      <c r="CD58" s="42"/>
      <c r="CE58" s="42"/>
      <c r="CF58" s="42"/>
      <c r="CG58" s="42"/>
      <c r="CH58" s="42"/>
      <c r="CI58" s="42"/>
      <c r="CJ58" s="42"/>
      <c r="CK58" s="42"/>
      <c r="CL58" s="42"/>
      <c r="CM58" s="42"/>
      <c r="CN58" s="42"/>
      <c r="CO58" s="42"/>
      <c r="CP58" s="42"/>
      <c r="CQ58" s="42"/>
      <c r="CR58" s="42"/>
      <c r="CS58" s="42"/>
      <c r="CT58" s="42"/>
      <c r="CU58" s="42"/>
      <c r="CV58" s="42"/>
    </row>
    <row r="59" spans="1:100" ht="15.75">
      <c r="A59" s="33"/>
      <c r="B59" s="36"/>
      <c r="C59" s="36"/>
      <c r="D59" s="36"/>
      <c r="E59" s="36"/>
      <c r="F59" s="36"/>
      <c r="G59" s="35"/>
      <c r="H59" s="105"/>
      <c r="I59" s="105"/>
      <c r="J59" s="105"/>
      <c r="K59" s="106"/>
      <c r="L59" s="105"/>
      <c r="M59" s="105"/>
      <c r="N59" s="105"/>
      <c r="O59" s="105"/>
      <c r="P59" s="105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42"/>
      <c r="BB59" s="42"/>
      <c r="BC59" s="42"/>
      <c r="BD59" s="42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2"/>
      <c r="BR59" s="42"/>
      <c r="BS59" s="42"/>
      <c r="BT59" s="42"/>
      <c r="BU59" s="42"/>
      <c r="BV59" s="42"/>
      <c r="BW59" s="42"/>
      <c r="BX59" s="42"/>
      <c r="BY59" s="42"/>
      <c r="BZ59" s="42"/>
      <c r="CA59" s="42"/>
      <c r="CB59" s="42"/>
      <c r="CC59" s="42"/>
      <c r="CD59" s="42"/>
      <c r="CE59" s="42"/>
      <c r="CF59" s="42"/>
      <c r="CG59" s="42"/>
      <c r="CH59" s="42"/>
      <c r="CI59" s="42"/>
      <c r="CJ59" s="42"/>
      <c r="CK59" s="42"/>
      <c r="CL59" s="42"/>
      <c r="CM59" s="42"/>
      <c r="CN59" s="42"/>
      <c r="CO59" s="42"/>
      <c r="CP59" s="42"/>
      <c r="CQ59" s="42"/>
      <c r="CR59" s="42"/>
      <c r="CS59" s="42"/>
      <c r="CT59" s="42"/>
      <c r="CU59" s="42"/>
      <c r="CV59" s="42"/>
    </row>
    <row r="60" spans="1:100" ht="15.75">
      <c r="A60" s="33"/>
      <c r="B60" s="36"/>
      <c r="C60" s="36"/>
      <c r="D60" s="36"/>
      <c r="E60" s="36"/>
      <c r="F60" s="36"/>
      <c r="G60" s="35"/>
      <c r="H60" s="105"/>
      <c r="I60" s="105"/>
      <c r="J60" s="105"/>
      <c r="K60" s="106"/>
      <c r="L60" s="105"/>
      <c r="M60" s="105"/>
      <c r="N60" s="105"/>
      <c r="O60" s="105"/>
      <c r="P60" s="105"/>
      <c r="Q60" s="107"/>
      <c r="R60" s="107"/>
      <c r="S60" s="107"/>
      <c r="T60" s="107"/>
      <c r="U60" s="107"/>
      <c r="V60" s="107"/>
      <c r="W60" s="107"/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42"/>
      <c r="BE60" s="42"/>
      <c r="BF60" s="42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2"/>
      <c r="BR60" s="42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</row>
    <row r="61" spans="1:100" ht="15.75">
      <c r="A61" s="33"/>
      <c r="B61" s="36"/>
      <c r="C61" s="36"/>
      <c r="D61" s="36"/>
      <c r="E61" s="36"/>
      <c r="F61" s="36"/>
      <c r="G61" s="35"/>
      <c r="H61" s="105"/>
      <c r="I61" s="105"/>
      <c r="J61" s="105"/>
      <c r="K61" s="106"/>
      <c r="L61" s="105"/>
      <c r="M61" s="105"/>
      <c r="N61" s="105"/>
      <c r="O61" s="105"/>
      <c r="P61" s="105"/>
      <c r="Q61" s="107"/>
      <c r="R61" s="107"/>
      <c r="S61" s="107"/>
      <c r="T61" s="107"/>
      <c r="U61" s="107"/>
      <c r="V61" s="107"/>
      <c r="W61" s="107"/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42"/>
      <c r="BE61" s="42"/>
      <c r="BF61" s="42"/>
      <c r="BG61" s="42"/>
      <c r="BH61" s="42"/>
      <c r="BI61" s="42"/>
      <c r="BJ61" s="42"/>
      <c r="BK61" s="42"/>
      <c r="BL61" s="42"/>
      <c r="BM61" s="42"/>
      <c r="BN61" s="42"/>
      <c r="BO61" s="42"/>
      <c r="BP61" s="42"/>
      <c r="BQ61" s="42"/>
      <c r="BR61" s="42"/>
      <c r="BS61" s="42"/>
      <c r="BT61" s="42"/>
      <c r="BU61" s="42"/>
      <c r="BV61" s="42"/>
      <c r="BW61" s="42"/>
      <c r="BX61" s="42"/>
      <c r="BY61" s="42"/>
      <c r="BZ61" s="42"/>
      <c r="CA61" s="42"/>
      <c r="CB61" s="42"/>
      <c r="CC61" s="42"/>
      <c r="CD61" s="42"/>
      <c r="CE61" s="42"/>
      <c r="CF61" s="42"/>
      <c r="CG61" s="42"/>
      <c r="CH61" s="42"/>
      <c r="CI61" s="42"/>
      <c r="CJ61" s="42"/>
      <c r="CK61" s="42"/>
      <c r="CL61" s="42"/>
      <c r="CM61" s="42"/>
      <c r="CN61" s="42"/>
      <c r="CO61" s="42"/>
      <c r="CP61" s="42"/>
      <c r="CQ61" s="42"/>
      <c r="CR61" s="42"/>
      <c r="CS61" s="42"/>
      <c r="CT61" s="42"/>
      <c r="CU61" s="42"/>
      <c r="CV61" s="42"/>
    </row>
    <row r="62" spans="1:100" ht="15.75">
      <c r="A62" s="33"/>
      <c r="B62" s="36"/>
      <c r="C62" s="36"/>
      <c r="D62" s="36"/>
      <c r="E62" s="36"/>
      <c r="F62" s="36"/>
      <c r="G62" s="35"/>
      <c r="H62" s="105"/>
      <c r="I62" s="105"/>
      <c r="J62" s="105"/>
      <c r="K62" s="106"/>
      <c r="L62" s="105"/>
      <c r="M62" s="105"/>
      <c r="N62" s="105"/>
      <c r="O62" s="105"/>
      <c r="P62" s="105"/>
      <c r="Q62" s="107"/>
      <c r="R62" s="107"/>
      <c r="S62" s="107"/>
      <c r="T62" s="107"/>
      <c r="U62" s="107"/>
      <c r="V62" s="107"/>
      <c r="W62" s="107"/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42"/>
      <c r="BB62" s="42"/>
      <c r="BC62" s="42"/>
      <c r="BD62" s="42"/>
      <c r="BE62" s="42"/>
      <c r="BF62" s="42"/>
      <c r="BG62" s="42"/>
      <c r="BH62" s="42"/>
      <c r="BI62" s="42"/>
      <c r="BJ62" s="42"/>
      <c r="BK62" s="42"/>
      <c r="BL62" s="42"/>
      <c r="BM62" s="42"/>
      <c r="BN62" s="42"/>
      <c r="BO62" s="42"/>
      <c r="BP62" s="42"/>
      <c r="BQ62" s="42"/>
      <c r="BR62" s="42"/>
      <c r="BS62" s="42"/>
      <c r="BT62" s="42"/>
      <c r="BU62" s="42"/>
      <c r="BV62" s="42"/>
      <c r="BW62" s="42"/>
      <c r="BX62" s="42"/>
      <c r="BY62" s="42"/>
      <c r="BZ62" s="42"/>
      <c r="CA62" s="42"/>
      <c r="CB62" s="42"/>
      <c r="CC62" s="42"/>
      <c r="CD62" s="42"/>
      <c r="CE62" s="42"/>
      <c r="CF62" s="42"/>
      <c r="CG62" s="42"/>
      <c r="CH62" s="42"/>
      <c r="CI62" s="42"/>
      <c r="CJ62" s="42"/>
      <c r="CK62" s="42"/>
      <c r="CL62" s="42"/>
      <c r="CM62" s="42"/>
      <c r="CN62" s="42"/>
      <c r="CO62" s="42"/>
      <c r="CP62" s="42"/>
      <c r="CQ62" s="42"/>
      <c r="CR62" s="42"/>
      <c r="CS62" s="42"/>
      <c r="CT62" s="42"/>
      <c r="CU62" s="42"/>
      <c r="CV62" s="42"/>
    </row>
    <row r="63" spans="1:100" ht="15.75">
      <c r="A63" s="33"/>
      <c r="B63" s="36"/>
      <c r="C63" s="36"/>
      <c r="D63" s="36"/>
      <c r="E63" s="36"/>
      <c r="F63" s="36"/>
      <c r="G63" s="35"/>
      <c r="H63" s="105"/>
      <c r="I63" s="105"/>
      <c r="J63" s="105"/>
      <c r="K63" s="106"/>
      <c r="L63" s="105"/>
      <c r="M63" s="105"/>
      <c r="N63" s="105"/>
      <c r="O63" s="105"/>
      <c r="P63" s="105"/>
      <c r="Q63" s="107"/>
      <c r="R63" s="107"/>
      <c r="S63" s="107"/>
      <c r="T63" s="107"/>
      <c r="U63" s="107"/>
      <c r="V63" s="107"/>
      <c r="W63" s="107"/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42"/>
      <c r="BB63" s="42"/>
      <c r="BC63" s="42"/>
      <c r="BD63" s="42"/>
      <c r="BE63" s="42"/>
      <c r="BF63" s="42"/>
      <c r="BG63" s="42"/>
      <c r="BH63" s="42"/>
      <c r="BI63" s="42"/>
      <c r="BJ63" s="42"/>
      <c r="BK63" s="42"/>
      <c r="BL63" s="42"/>
      <c r="BM63" s="42"/>
      <c r="BN63" s="42"/>
      <c r="BO63" s="42"/>
      <c r="BP63" s="42"/>
      <c r="BQ63" s="42"/>
      <c r="BR63" s="42"/>
      <c r="BS63" s="42"/>
      <c r="BT63" s="42"/>
      <c r="BU63" s="42"/>
      <c r="BV63" s="42"/>
      <c r="BW63" s="42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</row>
    <row r="64" spans="1:100" ht="15.75">
      <c r="A64" s="33"/>
      <c r="B64" s="36"/>
      <c r="C64" s="36"/>
      <c r="D64" s="36"/>
      <c r="E64" s="36"/>
      <c r="F64" s="36"/>
      <c r="G64" s="35"/>
      <c r="H64" s="105"/>
      <c r="I64" s="105"/>
      <c r="J64" s="105"/>
      <c r="K64" s="106"/>
      <c r="L64" s="105"/>
      <c r="M64" s="105"/>
      <c r="N64" s="105"/>
      <c r="O64" s="105"/>
      <c r="P64" s="105"/>
      <c r="Q64" s="107"/>
      <c r="R64" s="107"/>
      <c r="S64" s="107"/>
      <c r="T64" s="107"/>
      <c r="U64" s="107"/>
      <c r="V64" s="107"/>
      <c r="W64" s="107"/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42"/>
      <c r="BB64" s="42"/>
      <c r="BC64" s="42"/>
      <c r="BD64" s="42"/>
      <c r="BE64" s="42"/>
      <c r="BF64" s="42"/>
      <c r="BG64" s="42"/>
      <c r="BH64" s="42"/>
      <c r="BI64" s="42"/>
      <c r="BJ64" s="42"/>
      <c r="BK64" s="42"/>
      <c r="BL64" s="42"/>
      <c r="BM64" s="42"/>
      <c r="BN64" s="42"/>
      <c r="BO64" s="42"/>
      <c r="BP64" s="42"/>
      <c r="BQ64" s="42"/>
      <c r="BR64" s="42"/>
      <c r="BS64" s="42"/>
      <c r="BT64" s="42"/>
      <c r="BU64" s="42"/>
      <c r="BV64" s="42"/>
      <c r="BW64" s="42"/>
      <c r="BX64" s="42"/>
      <c r="BY64" s="42"/>
      <c r="BZ64" s="42"/>
      <c r="CA64" s="42"/>
      <c r="CB64" s="42"/>
      <c r="CC64" s="42"/>
      <c r="CD64" s="42"/>
      <c r="CE64" s="42"/>
      <c r="CF64" s="42"/>
      <c r="CG64" s="42"/>
      <c r="CH64" s="42"/>
      <c r="CI64" s="42"/>
      <c r="CJ64" s="42"/>
      <c r="CK64" s="42"/>
      <c r="CL64" s="42"/>
      <c r="CM64" s="42"/>
      <c r="CN64" s="42"/>
      <c r="CO64" s="42"/>
      <c r="CP64" s="42"/>
      <c r="CQ64" s="42"/>
      <c r="CR64" s="42"/>
      <c r="CS64" s="42"/>
      <c r="CT64" s="42"/>
      <c r="CU64" s="42"/>
      <c r="CV64" s="42"/>
    </row>
    <row r="65" spans="1:100" ht="15.75">
      <c r="A65" s="33"/>
      <c r="B65" s="36"/>
      <c r="C65" s="36"/>
      <c r="D65" s="36"/>
      <c r="E65" s="36"/>
      <c r="F65" s="36"/>
      <c r="G65" s="35"/>
      <c r="H65" s="105"/>
      <c r="I65" s="105"/>
      <c r="J65" s="105"/>
      <c r="K65" s="106"/>
      <c r="L65" s="105"/>
      <c r="M65" s="105"/>
      <c r="N65" s="105"/>
      <c r="O65" s="105"/>
      <c r="P65" s="105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</row>
    <row r="66" spans="1:100" ht="15.75">
      <c r="A66" s="33"/>
      <c r="B66" s="36"/>
      <c r="C66" s="36"/>
      <c r="D66" s="36"/>
      <c r="E66" s="36"/>
      <c r="F66" s="36"/>
      <c r="G66" s="35"/>
      <c r="H66" s="105"/>
      <c r="I66" s="105"/>
      <c r="J66" s="105"/>
      <c r="K66" s="106"/>
      <c r="L66" s="105"/>
      <c r="M66" s="105"/>
      <c r="N66" s="105"/>
      <c r="O66" s="105"/>
      <c r="P66" s="105"/>
      <c r="Q66" s="107"/>
      <c r="R66" s="107"/>
      <c r="S66" s="107"/>
      <c r="T66" s="107"/>
      <c r="U66" s="107"/>
      <c r="V66" s="107"/>
      <c r="W66" s="107"/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</row>
    <row r="67" spans="1:100" ht="15.75">
      <c r="A67" s="33"/>
      <c r="B67" s="36"/>
      <c r="C67" s="36"/>
      <c r="D67" s="36"/>
      <c r="E67" s="36"/>
      <c r="F67" s="36"/>
      <c r="G67" s="35"/>
      <c r="H67" s="105"/>
      <c r="I67" s="105"/>
      <c r="J67" s="105"/>
      <c r="K67" s="106"/>
      <c r="L67" s="105"/>
      <c r="M67" s="105"/>
      <c r="N67" s="105"/>
      <c r="O67" s="105"/>
      <c r="P67" s="105"/>
      <c r="Q67" s="107"/>
      <c r="R67" s="107"/>
      <c r="S67" s="107"/>
      <c r="T67" s="107"/>
      <c r="U67" s="107"/>
      <c r="V67" s="107"/>
      <c r="W67" s="107"/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</row>
    <row r="68" spans="1:100" ht="15.75">
      <c r="A68" s="33"/>
      <c r="B68" s="36"/>
      <c r="C68" s="36"/>
      <c r="D68" s="36"/>
      <c r="E68" s="36"/>
      <c r="F68" s="36"/>
      <c r="G68" s="35"/>
      <c r="H68" s="105"/>
      <c r="I68" s="105"/>
      <c r="J68" s="105"/>
      <c r="K68" s="106"/>
      <c r="L68" s="105"/>
      <c r="M68" s="105"/>
      <c r="N68" s="105"/>
      <c r="O68" s="105"/>
      <c r="P68" s="105"/>
      <c r="Q68" s="107"/>
      <c r="R68" s="107"/>
      <c r="S68" s="107"/>
      <c r="T68" s="107"/>
      <c r="U68" s="107"/>
      <c r="V68" s="107"/>
      <c r="W68" s="107"/>
      <c r="X68" s="107"/>
      <c r="Y68" s="107"/>
      <c r="Z68" s="107"/>
      <c r="AA68" s="107"/>
      <c r="AB68" s="107"/>
      <c r="AC68" s="107"/>
      <c r="AD68" s="107"/>
      <c r="AE68" s="107"/>
      <c r="AF68" s="107"/>
      <c r="AG68" s="107"/>
      <c r="AH68" s="107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I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</row>
    <row r="69" spans="1:100" ht="15.75">
      <c r="A69" s="33"/>
      <c r="B69" s="36"/>
      <c r="C69" s="36"/>
      <c r="D69" s="36"/>
      <c r="E69" s="36"/>
      <c r="F69" s="36"/>
      <c r="G69" s="35"/>
      <c r="H69" s="105"/>
      <c r="I69" s="105"/>
      <c r="J69" s="105"/>
      <c r="K69" s="106"/>
      <c r="L69" s="105"/>
      <c r="M69" s="105"/>
      <c r="N69" s="105"/>
      <c r="O69" s="105"/>
      <c r="P69" s="105"/>
      <c r="Q69" s="107"/>
      <c r="R69" s="107"/>
      <c r="S69" s="107"/>
      <c r="T69" s="107"/>
      <c r="U69" s="107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</row>
    <row r="70" spans="1:100" ht="15.75">
      <c r="A70" s="33"/>
      <c r="B70" s="36"/>
      <c r="C70" s="36"/>
      <c r="D70" s="36"/>
      <c r="E70" s="36"/>
      <c r="F70" s="36"/>
      <c r="G70" s="35"/>
      <c r="H70" s="105"/>
      <c r="I70" s="105"/>
      <c r="J70" s="105"/>
      <c r="K70" s="106"/>
      <c r="L70" s="105"/>
      <c r="M70" s="105"/>
      <c r="N70" s="105"/>
      <c r="O70" s="105"/>
      <c r="P70" s="105"/>
      <c r="Q70" s="107"/>
      <c r="R70" s="107"/>
      <c r="S70" s="107"/>
      <c r="T70" s="107"/>
      <c r="U70" s="107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</row>
    <row r="71" spans="1:100" ht="15.75">
      <c r="A71" s="33"/>
      <c r="B71" s="36"/>
      <c r="C71" s="36"/>
      <c r="D71" s="36"/>
      <c r="E71" s="36"/>
      <c r="F71" s="36"/>
      <c r="G71" s="35"/>
      <c r="H71" s="105"/>
      <c r="I71" s="105"/>
      <c r="J71" s="105"/>
      <c r="K71" s="106"/>
      <c r="L71" s="105"/>
      <c r="M71" s="105"/>
      <c r="N71" s="105"/>
      <c r="O71" s="105"/>
      <c r="P71" s="105"/>
      <c r="Q71" s="107"/>
      <c r="R71" s="107"/>
      <c r="S71" s="107"/>
      <c r="T71" s="107"/>
      <c r="U71" s="107"/>
      <c r="V71" s="107"/>
      <c r="W71" s="107"/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</row>
    <row r="72" spans="1:100" ht="15.75">
      <c r="A72" s="33"/>
      <c r="B72" s="36"/>
      <c r="C72" s="36"/>
      <c r="D72" s="36"/>
      <c r="E72" s="36"/>
      <c r="F72" s="36"/>
      <c r="G72" s="35"/>
      <c r="H72" s="105"/>
      <c r="I72" s="105"/>
      <c r="J72" s="105"/>
      <c r="K72" s="106"/>
      <c r="L72" s="105"/>
      <c r="M72" s="105"/>
      <c r="N72" s="105"/>
      <c r="O72" s="105"/>
      <c r="P72" s="105"/>
      <c r="Q72" s="107"/>
      <c r="R72" s="107"/>
      <c r="S72" s="107"/>
      <c r="T72" s="107"/>
      <c r="U72" s="107"/>
      <c r="V72" s="107"/>
      <c r="W72" s="107"/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</row>
    <row r="73" spans="1:100" ht="15.75">
      <c r="A73" s="33"/>
      <c r="B73" s="36"/>
      <c r="C73" s="36"/>
      <c r="D73" s="36"/>
      <c r="E73" s="36"/>
      <c r="F73" s="36"/>
      <c r="G73" s="35"/>
      <c r="H73" s="105"/>
      <c r="I73" s="105"/>
      <c r="J73" s="105"/>
      <c r="K73" s="106"/>
      <c r="L73" s="105"/>
      <c r="M73" s="105"/>
      <c r="N73" s="105"/>
      <c r="O73" s="105"/>
      <c r="P73" s="105"/>
      <c r="Q73" s="107"/>
      <c r="R73" s="107"/>
      <c r="S73" s="107"/>
      <c r="T73" s="107"/>
      <c r="U73" s="107"/>
      <c r="V73" s="107"/>
      <c r="W73" s="107"/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</row>
    <row r="74" spans="1:100" ht="15.75">
      <c r="A74" s="33"/>
      <c r="B74" s="36"/>
      <c r="C74" s="36"/>
      <c r="D74" s="36"/>
      <c r="E74" s="36"/>
      <c r="F74" s="36"/>
      <c r="G74" s="35"/>
      <c r="H74" s="105"/>
      <c r="I74" s="105"/>
      <c r="J74" s="105"/>
      <c r="K74" s="106"/>
      <c r="L74" s="105"/>
      <c r="M74" s="105"/>
      <c r="N74" s="105"/>
      <c r="O74" s="105"/>
      <c r="P74" s="105"/>
      <c r="Q74" s="107"/>
      <c r="R74" s="107"/>
      <c r="S74" s="107"/>
      <c r="T74" s="107"/>
      <c r="U74" s="107"/>
      <c r="V74" s="107"/>
      <c r="W74" s="107"/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I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</row>
    <row r="75" spans="1:100" ht="15.75">
      <c r="A75" s="33"/>
      <c r="B75" s="36"/>
      <c r="C75" s="36"/>
      <c r="D75" s="36"/>
      <c r="E75" s="36"/>
      <c r="F75" s="36"/>
      <c r="G75" s="35"/>
      <c r="H75" s="105"/>
      <c r="I75" s="105"/>
      <c r="J75" s="105"/>
      <c r="K75" s="106"/>
      <c r="L75" s="105"/>
      <c r="M75" s="105"/>
      <c r="N75" s="105"/>
      <c r="O75" s="105"/>
      <c r="P75" s="105"/>
      <c r="Q75" s="107"/>
      <c r="R75" s="107"/>
      <c r="S75" s="107"/>
      <c r="T75" s="107"/>
      <c r="U75" s="107"/>
      <c r="V75" s="107"/>
      <c r="W75" s="107"/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I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</row>
    <row r="76" spans="1:100" ht="15.75">
      <c r="A76" s="33"/>
      <c r="B76" s="36"/>
      <c r="C76" s="36"/>
      <c r="D76" s="36"/>
      <c r="E76" s="36"/>
      <c r="F76" s="36"/>
      <c r="G76" s="35"/>
      <c r="H76" s="105"/>
      <c r="I76" s="105"/>
      <c r="J76" s="105"/>
      <c r="K76" s="106"/>
      <c r="L76" s="105"/>
      <c r="M76" s="105"/>
      <c r="N76" s="105"/>
      <c r="O76" s="105"/>
      <c r="P76" s="105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I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</row>
    <row r="77" spans="1:100" ht="15.75">
      <c r="A77" s="33"/>
      <c r="B77" s="36"/>
      <c r="C77" s="36"/>
      <c r="D77" s="36"/>
      <c r="E77" s="36"/>
      <c r="F77" s="36"/>
      <c r="G77" s="35"/>
      <c r="H77" s="105"/>
      <c r="I77" s="105"/>
      <c r="J77" s="105"/>
      <c r="K77" s="106"/>
      <c r="L77" s="105"/>
      <c r="M77" s="105"/>
      <c r="N77" s="105"/>
      <c r="O77" s="105"/>
      <c r="P77" s="105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I77" s="42"/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</row>
    <row r="78" spans="1:100" ht="15.75">
      <c r="A78" s="33"/>
      <c r="B78" s="36"/>
      <c r="C78" s="36"/>
      <c r="D78" s="36"/>
      <c r="E78" s="36"/>
      <c r="F78" s="36"/>
      <c r="G78" s="35"/>
      <c r="H78" s="105"/>
      <c r="I78" s="105"/>
      <c r="J78" s="105"/>
      <c r="K78" s="106"/>
      <c r="L78" s="105"/>
      <c r="M78" s="105"/>
      <c r="N78" s="105"/>
      <c r="O78" s="105"/>
      <c r="P78" s="105"/>
      <c r="Q78" s="107"/>
      <c r="R78" s="107"/>
      <c r="S78" s="107"/>
      <c r="T78" s="107"/>
      <c r="U78" s="107"/>
      <c r="V78" s="107"/>
      <c r="W78" s="107"/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</row>
    <row r="79" spans="1:100" ht="15.75">
      <c r="A79" s="33"/>
      <c r="B79" s="36"/>
      <c r="C79" s="36"/>
      <c r="D79" s="36"/>
      <c r="E79" s="36"/>
      <c r="F79" s="36"/>
      <c r="G79" s="35"/>
      <c r="H79" s="105"/>
      <c r="I79" s="105"/>
      <c r="J79" s="105"/>
      <c r="K79" s="106"/>
      <c r="L79" s="105"/>
      <c r="M79" s="105"/>
      <c r="N79" s="105"/>
      <c r="O79" s="105"/>
      <c r="P79" s="105"/>
      <c r="Q79" s="107"/>
      <c r="R79" s="107"/>
      <c r="S79" s="107"/>
      <c r="T79" s="107"/>
      <c r="U79" s="107"/>
      <c r="V79" s="107"/>
      <c r="W79" s="107"/>
      <c r="X79" s="107"/>
      <c r="Y79" s="107"/>
      <c r="Z79" s="107"/>
      <c r="AA79" s="107"/>
      <c r="AB79" s="107"/>
      <c r="AC79" s="107"/>
      <c r="AD79" s="107"/>
      <c r="AE79" s="107"/>
      <c r="AF79" s="107"/>
      <c r="AG79" s="107"/>
      <c r="AH79" s="107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</row>
    <row r="80" spans="1:100" ht="15.75">
      <c r="A80" s="33"/>
      <c r="B80" s="36"/>
      <c r="C80" s="36"/>
      <c r="D80" s="36"/>
      <c r="E80" s="36"/>
      <c r="F80" s="36"/>
      <c r="G80" s="35"/>
      <c r="H80" s="105"/>
      <c r="I80" s="105"/>
      <c r="J80" s="105"/>
      <c r="K80" s="106"/>
      <c r="L80" s="105"/>
      <c r="M80" s="105"/>
      <c r="N80" s="105"/>
      <c r="O80" s="105"/>
      <c r="P80" s="105"/>
      <c r="Q80" s="107"/>
      <c r="R80" s="107"/>
      <c r="S80" s="107"/>
      <c r="T80" s="107"/>
      <c r="U80" s="107"/>
      <c r="V80" s="107"/>
      <c r="W80" s="107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I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</row>
    <row r="81" spans="1:100" ht="15.75">
      <c r="A81" s="33"/>
      <c r="B81" s="36"/>
      <c r="C81" s="36"/>
      <c r="D81" s="36"/>
      <c r="E81" s="36"/>
      <c r="F81" s="36"/>
      <c r="G81" s="35"/>
      <c r="H81" s="105"/>
      <c r="I81" s="105"/>
      <c r="J81" s="105"/>
      <c r="K81" s="106"/>
      <c r="L81" s="105"/>
      <c r="M81" s="105"/>
      <c r="N81" s="105"/>
      <c r="O81" s="105"/>
      <c r="P81" s="105"/>
      <c r="Q81" s="107"/>
      <c r="R81" s="107"/>
      <c r="S81" s="107"/>
      <c r="T81" s="107"/>
      <c r="U81" s="107"/>
      <c r="V81" s="107"/>
      <c r="W81" s="107"/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I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</row>
    <row r="82" spans="1:100" ht="15.75">
      <c r="A82" s="33"/>
      <c r="B82" s="36"/>
      <c r="C82" s="36"/>
      <c r="D82" s="36"/>
      <c r="E82" s="36"/>
      <c r="F82" s="36"/>
      <c r="G82" s="35"/>
      <c r="H82" s="105"/>
      <c r="I82" s="105"/>
      <c r="J82" s="105"/>
      <c r="K82" s="106"/>
      <c r="L82" s="105"/>
      <c r="M82" s="105"/>
      <c r="N82" s="105"/>
      <c r="O82" s="105"/>
      <c r="P82" s="105"/>
      <c r="Q82" s="107"/>
      <c r="R82" s="107"/>
      <c r="S82" s="107"/>
      <c r="T82" s="107"/>
      <c r="U82" s="107"/>
      <c r="V82" s="107"/>
      <c r="W82" s="107"/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42"/>
      <c r="BH82" s="42"/>
      <c r="BI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</row>
    <row r="83" spans="1:100" ht="15.75">
      <c r="A83" s="33"/>
      <c r="B83" s="36"/>
      <c r="C83" s="36"/>
      <c r="D83" s="36"/>
      <c r="E83" s="36"/>
      <c r="F83" s="36"/>
      <c r="G83" s="35"/>
      <c r="H83" s="105"/>
      <c r="I83" s="105"/>
      <c r="J83" s="105"/>
      <c r="K83" s="106"/>
      <c r="L83" s="105"/>
      <c r="M83" s="105"/>
      <c r="N83" s="105"/>
      <c r="O83" s="105"/>
      <c r="P83" s="105"/>
      <c r="Q83" s="107"/>
      <c r="R83" s="107"/>
      <c r="S83" s="107"/>
      <c r="T83" s="107"/>
      <c r="U83" s="107"/>
      <c r="V83" s="107"/>
      <c r="W83" s="107"/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I83" s="42"/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</row>
    <row r="84" spans="1:100" ht="15.75">
      <c r="A84" s="33"/>
      <c r="B84" s="36"/>
      <c r="C84" s="36"/>
      <c r="D84" s="36"/>
      <c r="E84" s="36"/>
      <c r="F84" s="36"/>
      <c r="G84" s="35"/>
      <c r="H84" s="105"/>
      <c r="I84" s="105"/>
      <c r="J84" s="105"/>
      <c r="K84" s="106"/>
      <c r="L84" s="105"/>
      <c r="M84" s="105"/>
      <c r="N84" s="105"/>
      <c r="O84" s="105"/>
      <c r="P84" s="105"/>
      <c r="Q84" s="107"/>
      <c r="R84" s="107"/>
      <c r="S84" s="107"/>
      <c r="T84" s="107"/>
      <c r="U84" s="107"/>
      <c r="V84" s="107"/>
      <c r="W84" s="107"/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</row>
    <row r="85" spans="1:100" ht="15.75">
      <c r="A85" s="33"/>
      <c r="B85" s="36"/>
      <c r="C85" s="36"/>
      <c r="D85" s="36"/>
      <c r="E85" s="36"/>
      <c r="F85" s="36"/>
      <c r="G85" s="35"/>
      <c r="H85" s="105"/>
      <c r="I85" s="105"/>
      <c r="J85" s="105"/>
      <c r="K85" s="106"/>
      <c r="L85" s="105"/>
      <c r="M85" s="105"/>
      <c r="N85" s="105"/>
      <c r="O85" s="105"/>
      <c r="P85" s="105"/>
      <c r="Q85" s="107"/>
      <c r="R85" s="107"/>
      <c r="S85" s="107"/>
      <c r="T85" s="107"/>
      <c r="U85" s="107"/>
      <c r="V85" s="107"/>
      <c r="W85" s="107"/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42"/>
      <c r="BB85" s="42"/>
      <c r="BC85" s="42"/>
      <c r="BD85" s="42"/>
      <c r="BE85" s="42"/>
      <c r="BF85" s="42"/>
      <c r="BG85" s="42"/>
      <c r="BH85" s="42"/>
      <c r="BI85" s="42"/>
      <c r="BJ85" s="42"/>
      <c r="BK85" s="42"/>
      <c r="BL85" s="42"/>
      <c r="BM85" s="42"/>
      <c r="BN85" s="42"/>
      <c r="BO85" s="42"/>
      <c r="BP85" s="42"/>
      <c r="BQ85" s="42"/>
      <c r="BR85" s="42"/>
      <c r="BS85" s="42"/>
      <c r="BT85" s="42"/>
      <c r="BU85" s="42"/>
      <c r="BV85" s="42"/>
      <c r="BW85" s="42"/>
      <c r="BX85" s="42"/>
      <c r="BY85" s="42"/>
      <c r="BZ85" s="42"/>
      <c r="CA85" s="42"/>
      <c r="CB85" s="42"/>
      <c r="CC85" s="42"/>
      <c r="CD85" s="42"/>
      <c r="CE85" s="42"/>
      <c r="CF85" s="42"/>
      <c r="CG85" s="42"/>
      <c r="CH85" s="42"/>
      <c r="CI85" s="42"/>
      <c r="CJ85" s="42"/>
      <c r="CK85" s="42"/>
      <c r="CL85" s="42"/>
      <c r="CM85" s="42"/>
      <c r="CN85" s="42"/>
      <c r="CO85" s="42"/>
      <c r="CP85" s="42"/>
      <c r="CQ85" s="42"/>
      <c r="CR85" s="42"/>
      <c r="CS85" s="42"/>
      <c r="CT85" s="42"/>
      <c r="CU85" s="42"/>
      <c r="CV85" s="42"/>
    </row>
    <row r="86" spans="1:100" ht="15.75">
      <c r="A86" s="33"/>
      <c r="B86" s="36"/>
      <c r="C86" s="36"/>
      <c r="D86" s="36"/>
      <c r="E86" s="36"/>
      <c r="F86" s="36"/>
      <c r="G86" s="35"/>
      <c r="H86" s="105"/>
      <c r="I86" s="105"/>
      <c r="J86" s="105"/>
      <c r="K86" s="106"/>
      <c r="L86" s="105"/>
      <c r="M86" s="105"/>
      <c r="N86" s="105"/>
      <c r="O86" s="105"/>
      <c r="P86" s="105"/>
      <c r="Q86" s="107"/>
      <c r="R86" s="107"/>
      <c r="S86" s="107"/>
      <c r="T86" s="107"/>
      <c r="U86" s="107"/>
      <c r="V86" s="107"/>
      <c r="W86" s="107"/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42"/>
      <c r="BB86" s="42"/>
      <c r="BC86" s="42"/>
      <c r="BD86" s="42"/>
      <c r="BE86" s="42"/>
      <c r="BF86" s="42"/>
      <c r="BG86" s="42"/>
      <c r="BH86" s="42"/>
      <c r="BI86" s="42"/>
      <c r="BJ86" s="42"/>
      <c r="BK86" s="42"/>
      <c r="BL86" s="42"/>
      <c r="BM86" s="42"/>
      <c r="BN86" s="42"/>
      <c r="BO86" s="42"/>
      <c r="BP86" s="42"/>
      <c r="BQ86" s="42"/>
      <c r="BR86" s="42"/>
      <c r="BS86" s="42"/>
      <c r="BT86" s="42"/>
      <c r="BU86" s="42"/>
      <c r="BV86" s="42"/>
      <c r="BW86" s="42"/>
      <c r="BX86" s="42"/>
      <c r="BY86" s="42"/>
      <c r="BZ86" s="42"/>
      <c r="CA86" s="42"/>
      <c r="CB86" s="42"/>
      <c r="CC86" s="42"/>
      <c r="CD86" s="42"/>
      <c r="CE86" s="42"/>
      <c r="CF86" s="42"/>
      <c r="CG86" s="42"/>
      <c r="CH86" s="42"/>
      <c r="CI86" s="42"/>
      <c r="CJ86" s="42"/>
      <c r="CK86" s="42"/>
      <c r="CL86" s="42"/>
      <c r="CM86" s="42"/>
      <c r="CN86" s="42"/>
      <c r="CO86" s="42"/>
      <c r="CP86" s="42"/>
      <c r="CQ86" s="42"/>
      <c r="CR86" s="42"/>
      <c r="CS86" s="42"/>
      <c r="CT86" s="42"/>
      <c r="CU86" s="42"/>
      <c r="CV86" s="42"/>
    </row>
    <row r="87" spans="1:100" ht="15.75">
      <c r="A87" s="33"/>
      <c r="B87" s="36"/>
      <c r="C87" s="36"/>
      <c r="D87" s="36"/>
      <c r="E87" s="36"/>
      <c r="F87" s="36"/>
      <c r="G87" s="35"/>
      <c r="H87" s="105"/>
      <c r="I87" s="105"/>
      <c r="J87" s="105"/>
      <c r="K87" s="106"/>
      <c r="L87" s="105"/>
      <c r="M87" s="105"/>
      <c r="N87" s="105"/>
      <c r="O87" s="105"/>
      <c r="P87" s="105"/>
      <c r="Q87" s="107"/>
      <c r="R87" s="107"/>
      <c r="S87" s="107"/>
      <c r="T87" s="107"/>
      <c r="U87" s="107"/>
      <c r="V87" s="107"/>
      <c r="W87" s="107"/>
      <c r="X87" s="107"/>
      <c r="Y87" s="107"/>
      <c r="Z87" s="107"/>
      <c r="AA87" s="107"/>
      <c r="AB87" s="107"/>
      <c r="AC87" s="107"/>
      <c r="AD87" s="107"/>
      <c r="AE87" s="107"/>
      <c r="AF87" s="107"/>
      <c r="AG87" s="107"/>
      <c r="AH87" s="107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42"/>
      <c r="BB87" s="42"/>
      <c r="BC87" s="42"/>
      <c r="BD87" s="42"/>
      <c r="BE87" s="42"/>
      <c r="BF87" s="42"/>
      <c r="BG87" s="42"/>
      <c r="BH87" s="42"/>
      <c r="BI87" s="42"/>
      <c r="BJ87" s="42"/>
      <c r="BK87" s="42"/>
      <c r="BL87" s="42"/>
      <c r="BM87" s="42"/>
      <c r="BN87" s="42"/>
      <c r="BO87" s="42"/>
      <c r="BP87" s="42"/>
      <c r="BQ87" s="42"/>
      <c r="BR87" s="42"/>
      <c r="BS87" s="42"/>
      <c r="BT87" s="42"/>
      <c r="BU87" s="42"/>
      <c r="BV87" s="42"/>
      <c r="BW87" s="42"/>
      <c r="BX87" s="42"/>
      <c r="BY87" s="42"/>
      <c r="BZ87" s="42"/>
      <c r="CA87" s="42"/>
      <c r="CB87" s="42"/>
      <c r="CC87" s="42"/>
      <c r="CD87" s="42"/>
      <c r="CE87" s="42"/>
      <c r="CF87" s="42"/>
      <c r="CG87" s="42"/>
      <c r="CH87" s="42"/>
      <c r="CI87" s="42"/>
      <c r="CJ87" s="42"/>
      <c r="CK87" s="42"/>
      <c r="CL87" s="42"/>
      <c r="CM87" s="42"/>
      <c r="CN87" s="42"/>
      <c r="CO87" s="42"/>
      <c r="CP87" s="42"/>
      <c r="CQ87" s="42"/>
      <c r="CR87" s="42"/>
      <c r="CS87" s="42"/>
      <c r="CT87" s="42"/>
      <c r="CU87" s="42"/>
      <c r="CV87" s="42"/>
    </row>
    <row r="88" spans="1:100" ht="15.75">
      <c r="A88" s="33"/>
      <c r="B88" s="36"/>
      <c r="C88" s="36"/>
      <c r="D88" s="36"/>
      <c r="E88" s="36"/>
      <c r="F88" s="36"/>
      <c r="G88" s="35"/>
      <c r="H88" s="105"/>
      <c r="I88" s="105"/>
      <c r="J88" s="105"/>
      <c r="K88" s="106"/>
      <c r="L88" s="105"/>
      <c r="M88" s="105"/>
      <c r="N88" s="105"/>
      <c r="O88" s="105"/>
      <c r="P88" s="105"/>
      <c r="Q88" s="107"/>
      <c r="R88" s="107"/>
      <c r="S88" s="107"/>
      <c r="T88" s="107"/>
      <c r="U88" s="107"/>
      <c r="V88" s="107"/>
      <c r="W88" s="107"/>
      <c r="X88" s="107"/>
      <c r="Y88" s="107"/>
      <c r="Z88" s="107"/>
      <c r="AA88" s="107"/>
      <c r="AB88" s="107"/>
      <c r="AC88" s="107"/>
      <c r="AD88" s="107"/>
      <c r="AE88" s="107"/>
      <c r="AF88" s="107"/>
      <c r="AG88" s="107"/>
      <c r="AH88" s="107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42"/>
      <c r="BB88" s="42"/>
      <c r="BC88" s="42"/>
      <c r="BD88" s="42"/>
      <c r="BE88" s="42"/>
      <c r="BF88" s="42"/>
      <c r="BG88" s="42"/>
      <c r="BH88" s="42"/>
      <c r="BI88" s="42"/>
      <c r="BJ88" s="42"/>
      <c r="BK88" s="42"/>
      <c r="BL88" s="42"/>
      <c r="BM88" s="42"/>
      <c r="BN88" s="42"/>
      <c r="BO88" s="42"/>
      <c r="BP88" s="42"/>
      <c r="BQ88" s="42"/>
      <c r="BR88" s="42"/>
      <c r="BS88" s="42"/>
      <c r="BT88" s="42"/>
      <c r="BU88" s="42"/>
      <c r="BV88" s="42"/>
      <c r="BW88" s="42"/>
      <c r="BX88" s="42"/>
      <c r="BY88" s="42"/>
      <c r="BZ88" s="42"/>
      <c r="CA88" s="42"/>
      <c r="CB88" s="42"/>
      <c r="CC88" s="42"/>
      <c r="CD88" s="42"/>
      <c r="CE88" s="42"/>
      <c r="CF88" s="42"/>
      <c r="CG88" s="42"/>
      <c r="CH88" s="42"/>
      <c r="CI88" s="42"/>
      <c r="CJ88" s="42"/>
      <c r="CK88" s="42"/>
      <c r="CL88" s="42"/>
      <c r="CM88" s="42"/>
      <c r="CN88" s="42"/>
      <c r="CO88" s="42"/>
      <c r="CP88" s="42"/>
      <c r="CQ88" s="42"/>
      <c r="CR88" s="42"/>
      <c r="CS88" s="42"/>
      <c r="CT88" s="42"/>
      <c r="CU88" s="42"/>
      <c r="CV88" s="42"/>
    </row>
    <row r="89" spans="1:100" ht="15.75">
      <c r="A89" s="33"/>
      <c r="B89" s="36"/>
      <c r="C89" s="36"/>
      <c r="D89" s="36"/>
      <c r="E89" s="36"/>
      <c r="F89" s="36"/>
      <c r="G89" s="35"/>
      <c r="H89" s="105"/>
      <c r="I89" s="105"/>
      <c r="J89" s="105"/>
      <c r="K89" s="106"/>
      <c r="L89" s="105"/>
      <c r="M89" s="105"/>
      <c r="N89" s="105"/>
      <c r="O89" s="105"/>
      <c r="P89" s="105"/>
      <c r="Q89" s="107"/>
      <c r="R89" s="107"/>
      <c r="S89" s="107"/>
      <c r="T89" s="107"/>
      <c r="U89" s="107"/>
      <c r="V89" s="107"/>
      <c r="W89" s="107"/>
      <c r="X89" s="107"/>
      <c r="Y89" s="107"/>
      <c r="Z89" s="107"/>
      <c r="AA89" s="107"/>
      <c r="AB89" s="107"/>
      <c r="AC89" s="107"/>
      <c r="AD89" s="107"/>
      <c r="AE89" s="107"/>
      <c r="AF89" s="107"/>
      <c r="AG89" s="107"/>
      <c r="AH89" s="107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42"/>
      <c r="BB89" s="42"/>
      <c r="BC89" s="42"/>
      <c r="BD89" s="42"/>
      <c r="BE89" s="42"/>
      <c r="BF89" s="42"/>
      <c r="BG89" s="42"/>
      <c r="BH89" s="42"/>
      <c r="BI89" s="42"/>
      <c r="BJ89" s="42"/>
      <c r="BK89" s="42"/>
      <c r="BL89" s="42"/>
      <c r="BM89" s="42"/>
      <c r="BN89" s="42"/>
      <c r="BO89" s="42"/>
      <c r="BP89" s="42"/>
      <c r="BQ89" s="42"/>
      <c r="BR89" s="42"/>
      <c r="BS89" s="42"/>
      <c r="BT89" s="42"/>
      <c r="BU89" s="42"/>
      <c r="BV89" s="42"/>
      <c r="BW89" s="42"/>
      <c r="BX89" s="42"/>
      <c r="BY89" s="42"/>
      <c r="BZ89" s="42"/>
      <c r="CA89" s="42"/>
      <c r="CB89" s="42"/>
      <c r="CC89" s="42"/>
      <c r="CD89" s="42"/>
      <c r="CE89" s="42"/>
      <c r="CF89" s="42"/>
      <c r="CG89" s="42"/>
      <c r="CH89" s="42"/>
      <c r="CI89" s="42"/>
      <c r="CJ89" s="42"/>
      <c r="CK89" s="42"/>
      <c r="CL89" s="42"/>
      <c r="CM89" s="42"/>
      <c r="CN89" s="42"/>
      <c r="CO89" s="42"/>
      <c r="CP89" s="42"/>
      <c r="CQ89" s="42"/>
      <c r="CR89" s="42"/>
      <c r="CS89" s="42"/>
      <c r="CT89" s="42"/>
      <c r="CU89" s="42"/>
      <c r="CV89" s="42"/>
    </row>
    <row r="90" spans="1:100" ht="15.75">
      <c r="A90" s="33"/>
      <c r="B90" s="36"/>
      <c r="C90" s="36"/>
      <c r="D90" s="36"/>
      <c r="E90" s="36"/>
      <c r="F90" s="36"/>
      <c r="G90" s="35"/>
      <c r="H90" s="105"/>
      <c r="I90" s="105"/>
      <c r="J90" s="105"/>
      <c r="K90" s="106"/>
      <c r="L90" s="105"/>
      <c r="M90" s="105"/>
      <c r="N90" s="105"/>
      <c r="O90" s="105"/>
      <c r="P90" s="105"/>
      <c r="Q90" s="107"/>
      <c r="R90" s="107"/>
      <c r="S90" s="107"/>
      <c r="T90" s="107"/>
      <c r="U90" s="107"/>
      <c r="V90" s="107"/>
      <c r="W90" s="107"/>
      <c r="X90" s="107"/>
      <c r="Y90" s="107"/>
      <c r="Z90" s="107"/>
      <c r="AA90" s="107"/>
      <c r="AB90" s="107"/>
      <c r="AC90" s="107"/>
      <c r="AD90" s="107"/>
      <c r="AE90" s="107"/>
      <c r="AF90" s="107"/>
      <c r="AG90" s="107"/>
      <c r="AH90" s="107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42"/>
      <c r="BB90" s="42"/>
      <c r="BC90" s="42"/>
      <c r="BD90" s="42"/>
      <c r="BE90" s="42"/>
      <c r="BF90" s="42"/>
      <c r="BG90" s="42"/>
      <c r="BH90" s="42"/>
      <c r="BI90" s="42"/>
      <c r="BJ90" s="42"/>
      <c r="BK90" s="42"/>
      <c r="BL90" s="42"/>
      <c r="BM90" s="42"/>
      <c r="BN90" s="42"/>
      <c r="BO90" s="42"/>
      <c r="BP90" s="42"/>
      <c r="BQ90" s="42"/>
      <c r="BR90" s="42"/>
      <c r="BS90" s="42"/>
      <c r="BT90" s="42"/>
      <c r="BU90" s="42"/>
      <c r="BV90" s="42"/>
      <c r="BW90" s="42"/>
      <c r="BX90" s="42"/>
      <c r="BY90" s="42"/>
      <c r="BZ90" s="42"/>
      <c r="CA90" s="42"/>
      <c r="CB90" s="42"/>
      <c r="CC90" s="42"/>
      <c r="CD90" s="42"/>
      <c r="CE90" s="42"/>
      <c r="CF90" s="42"/>
      <c r="CG90" s="42"/>
      <c r="CH90" s="42"/>
      <c r="CI90" s="42"/>
      <c r="CJ90" s="42"/>
      <c r="CK90" s="42"/>
      <c r="CL90" s="42"/>
      <c r="CM90" s="42"/>
      <c r="CN90" s="42"/>
      <c r="CO90" s="42"/>
      <c r="CP90" s="42"/>
      <c r="CQ90" s="42"/>
      <c r="CR90" s="42"/>
      <c r="CS90" s="42"/>
      <c r="CT90" s="42"/>
      <c r="CU90" s="42"/>
      <c r="CV90" s="42"/>
    </row>
    <row r="91" spans="1:100" ht="15.75">
      <c r="A91" s="33"/>
      <c r="B91" s="36"/>
      <c r="C91" s="36"/>
      <c r="D91" s="36"/>
      <c r="E91" s="36"/>
      <c r="F91" s="36"/>
      <c r="G91" s="35"/>
      <c r="H91" s="105"/>
      <c r="I91" s="105"/>
      <c r="J91" s="105"/>
      <c r="K91" s="106"/>
      <c r="L91" s="105"/>
      <c r="M91" s="105"/>
      <c r="N91" s="105"/>
      <c r="O91" s="105"/>
      <c r="P91" s="105"/>
      <c r="Q91" s="107"/>
      <c r="R91" s="107"/>
      <c r="S91" s="107"/>
      <c r="T91" s="107"/>
      <c r="U91" s="107"/>
      <c r="V91" s="107"/>
      <c r="W91" s="107"/>
      <c r="X91" s="107"/>
      <c r="Y91" s="107"/>
      <c r="Z91" s="107"/>
      <c r="AA91" s="107"/>
      <c r="AB91" s="107"/>
      <c r="AC91" s="107"/>
      <c r="AD91" s="107"/>
      <c r="AE91" s="107"/>
      <c r="AF91" s="107"/>
      <c r="AG91" s="107"/>
      <c r="AH91" s="107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42"/>
      <c r="BB91" s="42"/>
      <c r="BC91" s="42"/>
      <c r="BD91" s="42"/>
      <c r="BE91" s="42"/>
      <c r="BF91" s="42"/>
      <c r="BG91" s="42"/>
      <c r="BH91" s="42"/>
      <c r="BI91" s="42"/>
      <c r="BJ91" s="42"/>
      <c r="BK91" s="42"/>
      <c r="BL91" s="42"/>
      <c r="BM91" s="42"/>
      <c r="BN91" s="42"/>
      <c r="BO91" s="42"/>
      <c r="BP91" s="42"/>
      <c r="BQ91" s="42"/>
      <c r="BR91" s="42"/>
      <c r="BS91" s="42"/>
      <c r="BT91" s="42"/>
      <c r="BU91" s="42"/>
      <c r="BV91" s="42"/>
      <c r="BW91" s="42"/>
      <c r="BX91" s="42"/>
      <c r="BY91" s="42"/>
      <c r="BZ91" s="42"/>
      <c r="CA91" s="42"/>
      <c r="CB91" s="42"/>
      <c r="CC91" s="42"/>
      <c r="CD91" s="42"/>
      <c r="CE91" s="42"/>
      <c r="CF91" s="42"/>
      <c r="CG91" s="42"/>
      <c r="CH91" s="42"/>
      <c r="CI91" s="42"/>
      <c r="CJ91" s="42"/>
      <c r="CK91" s="42"/>
      <c r="CL91" s="42"/>
      <c r="CM91" s="42"/>
      <c r="CN91" s="42"/>
      <c r="CO91" s="42"/>
      <c r="CP91" s="42"/>
      <c r="CQ91" s="42"/>
      <c r="CR91" s="42"/>
      <c r="CS91" s="42"/>
      <c r="CT91" s="42"/>
      <c r="CU91" s="42"/>
      <c r="CV91" s="42"/>
    </row>
    <row r="92" spans="1:100" ht="15.75">
      <c r="A92" s="33"/>
      <c r="B92" s="36"/>
      <c r="C92" s="36"/>
      <c r="D92" s="36"/>
      <c r="E92" s="36"/>
      <c r="F92" s="36"/>
      <c r="G92" s="35"/>
      <c r="H92" s="105"/>
      <c r="I92" s="105"/>
      <c r="J92" s="105"/>
      <c r="K92" s="106"/>
      <c r="L92" s="105"/>
      <c r="M92" s="105"/>
      <c r="N92" s="105"/>
      <c r="O92" s="105"/>
      <c r="P92" s="105"/>
      <c r="Q92" s="107"/>
      <c r="R92" s="107"/>
      <c r="S92" s="107"/>
      <c r="T92" s="107"/>
      <c r="U92" s="107"/>
      <c r="V92" s="107"/>
      <c r="W92" s="107"/>
      <c r="X92" s="107"/>
      <c r="Y92" s="107"/>
      <c r="Z92" s="107"/>
      <c r="AA92" s="107"/>
      <c r="AB92" s="107"/>
      <c r="AC92" s="107"/>
      <c r="AD92" s="107"/>
      <c r="AE92" s="107"/>
      <c r="AF92" s="107"/>
      <c r="AG92" s="107"/>
      <c r="AH92" s="107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42"/>
      <c r="BB92" s="42"/>
      <c r="BC92" s="42"/>
      <c r="BD92" s="42"/>
      <c r="BE92" s="42"/>
      <c r="BF92" s="42"/>
      <c r="BG92" s="42"/>
      <c r="BH92" s="42"/>
      <c r="BI92" s="42"/>
      <c r="BJ92" s="42"/>
      <c r="BK92" s="42"/>
      <c r="BL92" s="42"/>
      <c r="BM92" s="42"/>
      <c r="BN92" s="42"/>
      <c r="BO92" s="42"/>
      <c r="BP92" s="42"/>
      <c r="BQ92" s="42"/>
      <c r="BR92" s="42"/>
      <c r="BS92" s="42"/>
      <c r="BT92" s="42"/>
      <c r="BU92" s="42"/>
      <c r="BV92" s="42"/>
      <c r="BW92" s="42"/>
      <c r="BX92" s="42"/>
      <c r="BY92" s="42"/>
      <c r="BZ92" s="42"/>
      <c r="CA92" s="42"/>
      <c r="CB92" s="42"/>
      <c r="CC92" s="42"/>
      <c r="CD92" s="42"/>
      <c r="CE92" s="42"/>
      <c r="CF92" s="42"/>
      <c r="CG92" s="42"/>
      <c r="CH92" s="42"/>
      <c r="CI92" s="42"/>
      <c r="CJ92" s="42"/>
      <c r="CK92" s="42"/>
      <c r="CL92" s="42"/>
      <c r="CM92" s="42"/>
      <c r="CN92" s="42"/>
      <c r="CO92" s="42"/>
      <c r="CP92" s="42"/>
      <c r="CQ92" s="42"/>
      <c r="CR92" s="42"/>
      <c r="CS92" s="42"/>
      <c r="CT92" s="42"/>
      <c r="CU92" s="42"/>
      <c r="CV92" s="42"/>
    </row>
    <row r="93" spans="1:100" ht="15.75">
      <c r="A93" s="33"/>
      <c r="B93" s="36"/>
      <c r="C93" s="36"/>
      <c r="D93" s="36"/>
      <c r="E93" s="36"/>
      <c r="F93" s="36"/>
      <c r="G93" s="35"/>
      <c r="H93" s="105"/>
      <c r="I93" s="105"/>
      <c r="J93" s="105"/>
      <c r="K93" s="106"/>
      <c r="L93" s="105"/>
      <c r="M93" s="105"/>
      <c r="N93" s="105"/>
      <c r="O93" s="105"/>
      <c r="P93" s="105"/>
      <c r="Q93" s="107"/>
      <c r="R93" s="107"/>
      <c r="S93" s="107"/>
      <c r="T93" s="107"/>
      <c r="U93" s="107"/>
      <c r="V93" s="107"/>
      <c r="W93" s="107"/>
      <c r="X93" s="107"/>
      <c r="Y93" s="107"/>
      <c r="Z93" s="107"/>
      <c r="AA93" s="107"/>
      <c r="AB93" s="107"/>
      <c r="AC93" s="107"/>
      <c r="AD93" s="107"/>
      <c r="AE93" s="107"/>
      <c r="AF93" s="107"/>
      <c r="AG93" s="107"/>
      <c r="AH93" s="107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I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/>
      <c r="CU93" s="42"/>
      <c r="CV93" s="42"/>
    </row>
    <row r="94" spans="1:100" ht="15.75">
      <c r="A94" s="33"/>
      <c r="B94" s="36"/>
      <c r="C94" s="36"/>
      <c r="D94" s="36"/>
      <c r="E94" s="36"/>
      <c r="F94" s="36"/>
      <c r="G94" s="35"/>
      <c r="H94" s="105"/>
      <c r="I94" s="105"/>
      <c r="J94" s="105"/>
      <c r="K94" s="106"/>
      <c r="L94" s="105"/>
      <c r="M94" s="105"/>
      <c r="N94" s="105"/>
      <c r="O94" s="105"/>
      <c r="P94" s="105"/>
      <c r="Q94" s="107"/>
      <c r="R94" s="107"/>
      <c r="S94" s="107"/>
      <c r="T94" s="107"/>
      <c r="U94" s="107"/>
      <c r="V94" s="107"/>
      <c r="W94" s="107"/>
      <c r="X94" s="107"/>
      <c r="Y94" s="107"/>
      <c r="Z94" s="107"/>
      <c r="AA94" s="107"/>
      <c r="AB94" s="107"/>
      <c r="AC94" s="107"/>
      <c r="AD94" s="107"/>
      <c r="AE94" s="107"/>
      <c r="AF94" s="107"/>
      <c r="AG94" s="107"/>
      <c r="AH94" s="107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42"/>
      <c r="BB94" s="42"/>
      <c r="BC94" s="42"/>
      <c r="BD94" s="42"/>
      <c r="BE94" s="42"/>
      <c r="BF94" s="42"/>
      <c r="BG94" s="42"/>
      <c r="BH94" s="42"/>
      <c r="BI94" s="42"/>
      <c r="BJ94" s="42"/>
      <c r="BK94" s="42"/>
      <c r="BL94" s="42"/>
      <c r="BM94" s="42"/>
      <c r="BN94" s="42"/>
      <c r="BO94" s="42"/>
      <c r="BP94" s="42"/>
      <c r="BQ94" s="42"/>
      <c r="BR94" s="42"/>
      <c r="BS94" s="42"/>
      <c r="BT94" s="42"/>
      <c r="BU94" s="42"/>
      <c r="BV94" s="42"/>
      <c r="BW94" s="42"/>
      <c r="BX94" s="42"/>
      <c r="BY94" s="42"/>
      <c r="BZ94" s="42"/>
      <c r="CA94" s="42"/>
      <c r="CB94" s="42"/>
      <c r="CC94" s="42"/>
      <c r="CD94" s="42"/>
      <c r="CE94" s="42"/>
      <c r="CF94" s="42"/>
      <c r="CG94" s="42"/>
      <c r="CH94" s="42"/>
      <c r="CI94" s="42"/>
      <c r="CJ94" s="42"/>
      <c r="CK94" s="42"/>
      <c r="CL94" s="42"/>
      <c r="CM94" s="42"/>
      <c r="CN94" s="42"/>
      <c r="CO94" s="42"/>
      <c r="CP94" s="42"/>
      <c r="CQ94" s="42"/>
      <c r="CR94" s="42"/>
      <c r="CS94" s="42"/>
      <c r="CT94" s="42"/>
      <c r="CU94" s="42"/>
      <c r="CV94" s="42"/>
    </row>
    <row r="95" spans="1:100" ht="15.75">
      <c r="A95" s="33"/>
      <c r="B95" s="36"/>
      <c r="C95" s="36"/>
      <c r="D95" s="36"/>
      <c r="E95" s="36"/>
      <c r="F95" s="36"/>
      <c r="G95" s="35"/>
      <c r="H95" s="105"/>
      <c r="I95" s="105"/>
      <c r="J95" s="105"/>
      <c r="K95" s="106"/>
      <c r="L95" s="105"/>
      <c r="M95" s="105"/>
      <c r="N95" s="105"/>
      <c r="O95" s="105"/>
      <c r="P95" s="105"/>
      <c r="Q95" s="107"/>
      <c r="R95" s="107"/>
      <c r="S95" s="107"/>
      <c r="T95" s="107"/>
      <c r="U95" s="107"/>
      <c r="V95" s="107"/>
      <c r="W95" s="107"/>
      <c r="X95" s="107"/>
      <c r="Y95" s="107"/>
      <c r="Z95" s="107"/>
      <c r="AA95" s="107"/>
      <c r="AB95" s="107"/>
      <c r="AC95" s="107"/>
      <c r="AD95" s="107"/>
      <c r="AE95" s="107"/>
      <c r="AF95" s="107"/>
      <c r="AG95" s="107"/>
      <c r="AH95" s="107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42"/>
      <c r="BB95" s="42"/>
      <c r="BC95" s="42"/>
      <c r="BD95" s="42"/>
      <c r="BE95" s="42"/>
      <c r="BF95" s="42"/>
      <c r="BG95" s="42"/>
      <c r="BH95" s="42"/>
      <c r="BI95" s="42"/>
      <c r="BJ95" s="42"/>
      <c r="BK95" s="42"/>
      <c r="BL95" s="42"/>
      <c r="BM95" s="42"/>
      <c r="BN95" s="42"/>
      <c r="BO95" s="42"/>
      <c r="BP95" s="42"/>
      <c r="BQ95" s="42"/>
      <c r="BR95" s="42"/>
      <c r="BS95" s="42"/>
      <c r="BT95" s="42"/>
      <c r="BU95" s="42"/>
      <c r="BV95" s="42"/>
      <c r="BW95" s="42"/>
      <c r="BX95" s="42"/>
      <c r="BY95" s="42"/>
      <c r="BZ95" s="42"/>
      <c r="CA95" s="42"/>
      <c r="CB95" s="42"/>
      <c r="CC95" s="42"/>
      <c r="CD95" s="42"/>
      <c r="CE95" s="42"/>
      <c r="CF95" s="42"/>
      <c r="CG95" s="42"/>
      <c r="CH95" s="42"/>
      <c r="CI95" s="42"/>
      <c r="CJ95" s="42"/>
      <c r="CK95" s="42"/>
      <c r="CL95" s="42"/>
      <c r="CM95" s="42"/>
      <c r="CN95" s="42"/>
      <c r="CO95" s="42"/>
      <c r="CP95" s="42"/>
      <c r="CQ95" s="42"/>
      <c r="CR95" s="42"/>
      <c r="CS95" s="42"/>
      <c r="CT95" s="42"/>
      <c r="CU95" s="42"/>
      <c r="CV95" s="42"/>
    </row>
    <row r="96" spans="1:100" ht="15.75">
      <c r="A96" s="33"/>
      <c r="B96" s="36"/>
      <c r="C96" s="36"/>
      <c r="D96" s="36"/>
      <c r="E96" s="36"/>
      <c r="F96" s="36"/>
      <c r="G96" s="35"/>
      <c r="H96" s="105"/>
      <c r="I96" s="105"/>
      <c r="J96" s="105"/>
      <c r="K96" s="105"/>
      <c r="L96" s="105"/>
      <c r="M96" s="105"/>
      <c r="N96" s="105"/>
      <c r="O96" s="105"/>
      <c r="P96" s="105"/>
      <c r="Q96" s="107"/>
      <c r="R96" s="107"/>
      <c r="S96" s="107"/>
      <c r="T96" s="107"/>
      <c r="U96" s="107"/>
      <c r="V96" s="107"/>
      <c r="W96" s="107"/>
      <c r="X96" s="107"/>
      <c r="Y96" s="107"/>
      <c r="Z96" s="107"/>
      <c r="AA96" s="107"/>
      <c r="AB96" s="107"/>
      <c r="AC96" s="107"/>
      <c r="AD96" s="107"/>
      <c r="AE96" s="107"/>
      <c r="AF96" s="107"/>
      <c r="AG96" s="107"/>
      <c r="AH96" s="107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42"/>
      <c r="BB96" s="42"/>
      <c r="BC96" s="42"/>
      <c r="BD96" s="42"/>
      <c r="BE96" s="42"/>
      <c r="BF96" s="42"/>
      <c r="BG96" s="42"/>
      <c r="BH96" s="42"/>
      <c r="BI96" s="42"/>
      <c r="BJ96" s="42"/>
      <c r="BK96" s="42"/>
      <c r="BL96" s="42"/>
      <c r="BM96" s="42"/>
      <c r="BN96" s="42"/>
      <c r="BO96" s="42"/>
      <c r="BP96" s="42"/>
      <c r="BQ96" s="42"/>
      <c r="BR96" s="42"/>
      <c r="BS96" s="42"/>
      <c r="BT96" s="42"/>
      <c r="BU96" s="42"/>
      <c r="BV96" s="42"/>
      <c r="BW96" s="42"/>
      <c r="BX96" s="42"/>
      <c r="BY96" s="42"/>
      <c r="BZ96" s="42"/>
      <c r="CA96" s="42"/>
      <c r="CB96" s="42"/>
      <c r="CC96" s="42"/>
      <c r="CD96" s="42"/>
      <c r="CE96" s="42"/>
      <c r="CF96" s="42"/>
      <c r="CG96" s="42"/>
      <c r="CH96" s="42"/>
      <c r="CI96" s="42"/>
      <c r="CJ96" s="42"/>
      <c r="CK96" s="42"/>
      <c r="CL96" s="42"/>
      <c r="CM96" s="42"/>
      <c r="CN96" s="42"/>
      <c r="CO96" s="42"/>
      <c r="CP96" s="42"/>
      <c r="CQ96" s="42"/>
      <c r="CR96" s="42"/>
      <c r="CS96" s="42"/>
      <c r="CT96" s="42"/>
      <c r="CU96" s="42"/>
      <c r="CV96" s="42"/>
    </row>
    <row r="97" spans="8:100">
      <c r="H97" s="107"/>
      <c r="I97" s="107"/>
      <c r="J97" s="107"/>
      <c r="K97" s="107"/>
      <c r="L97" s="107"/>
      <c r="M97" s="107"/>
      <c r="N97" s="107"/>
      <c r="O97" s="107"/>
      <c r="P97" s="107"/>
      <c r="Q97" s="107"/>
      <c r="R97" s="107"/>
      <c r="S97" s="107"/>
      <c r="T97" s="107"/>
      <c r="U97" s="107"/>
      <c r="V97" s="107"/>
      <c r="W97" s="107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  <c r="AH97" s="107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42"/>
      <c r="BB97" s="42"/>
      <c r="BC97" s="42"/>
      <c r="BD97" s="42"/>
      <c r="BE97" s="42"/>
      <c r="BF97" s="42"/>
      <c r="BG97" s="42"/>
      <c r="BH97" s="42"/>
      <c r="BI97" s="42"/>
      <c r="BJ97" s="42"/>
      <c r="BK97" s="42"/>
      <c r="BL97" s="42"/>
      <c r="BM97" s="42"/>
      <c r="BN97" s="42"/>
      <c r="BO97" s="42"/>
      <c r="BP97" s="42"/>
      <c r="BQ97" s="42"/>
      <c r="BR97" s="42"/>
      <c r="BS97" s="42"/>
      <c r="BT97" s="42"/>
      <c r="BU97" s="42"/>
      <c r="BV97" s="42"/>
      <c r="BW97" s="42"/>
      <c r="BX97" s="42"/>
      <c r="BY97" s="42"/>
      <c r="BZ97" s="42"/>
      <c r="CA97" s="42"/>
      <c r="CB97" s="42"/>
      <c r="CC97" s="42"/>
      <c r="CD97" s="42"/>
      <c r="CE97" s="42"/>
      <c r="CF97" s="42"/>
      <c r="CG97" s="42"/>
      <c r="CH97" s="42"/>
      <c r="CI97" s="42"/>
      <c r="CJ97" s="42"/>
      <c r="CK97" s="42"/>
      <c r="CL97" s="42"/>
      <c r="CM97" s="42"/>
      <c r="CN97" s="42"/>
      <c r="CO97" s="42"/>
      <c r="CP97" s="42"/>
      <c r="CQ97" s="42"/>
      <c r="CR97" s="42"/>
      <c r="CS97" s="42"/>
      <c r="CT97" s="42"/>
      <c r="CU97" s="42"/>
      <c r="CV97" s="42"/>
    </row>
    <row r="98" spans="8:100">
      <c r="H98" s="107"/>
      <c r="I98" s="107"/>
      <c r="J98" s="107"/>
      <c r="K98" s="107"/>
      <c r="L98" s="107"/>
      <c r="M98" s="107"/>
      <c r="N98" s="107"/>
      <c r="O98" s="107"/>
      <c r="P98" s="107"/>
      <c r="Q98" s="107"/>
      <c r="R98" s="107"/>
      <c r="S98" s="107"/>
      <c r="T98" s="107"/>
      <c r="U98" s="107"/>
      <c r="V98" s="107"/>
      <c r="W98" s="107"/>
      <c r="X98" s="107"/>
      <c r="Y98" s="107"/>
      <c r="Z98" s="107"/>
      <c r="AA98" s="107"/>
      <c r="AB98" s="107"/>
      <c r="AC98" s="107"/>
      <c r="AD98" s="107"/>
      <c r="AE98" s="107"/>
      <c r="AF98" s="107"/>
      <c r="AG98" s="107"/>
      <c r="AH98" s="107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42"/>
      <c r="BB98" s="42"/>
      <c r="BC98" s="42"/>
      <c r="BD98" s="42"/>
      <c r="BE98" s="42"/>
      <c r="BF98" s="42"/>
      <c r="BG98" s="42"/>
      <c r="BH98" s="42"/>
      <c r="BI98" s="42"/>
      <c r="BJ98" s="42"/>
      <c r="BK98" s="42"/>
      <c r="BL98" s="42"/>
      <c r="BM98" s="42"/>
      <c r="BN98" s="42"/>
      <c r="BO98" s="42"/>
      <c r="BP98" s="42"/>
      <c r="BQ98" s="42"/>
      <c r="BR98" s="42"/>
      <c r="BS98" s="42"/>
      <c r="BT98" s="42"/>
      <c r="BU98" s="42"/>
      <c r="BV98" s="42"/>
      <c r="BW98" s="42"/>
      <c r="BX98" s="42"/>
      <c r="BY98" s="42"/>
      <c r="BZ98" s="42"/>
      <c r="CA98" s="42"/>
      <c r="CB98" s="42"/>
      <c r="CC98" s="42"/>
      <c r="CD98" s="42"/>
      <c r="CE98" s="42"/>
      <c r="CF98" s="42"/>
      <c r="CG98" s="42"/>
      <c r="CH98" s="42"/>
      <c r="CI98" s="42"/>
      <c r="CJ98" s="42"/>
      <c r="CK98" s="42"/>
      <c r="CL98" s="42"/>
      <c r="CM98" s="42"/>
      <c r="CN98" s="42"/>
      <c r="CO98" s="42"/>
      <c r="CP98" s="42"/>
      <c r="CQ98" s="42"/>
      <c r="CR98" s="42"/>
      <c r="CS98" s="42"/>
      <c r="CT98" s="42"/>
      <c r="CU98" s="42"/>
      <c r="CV98" s="42"/>
    </row>
    <row r="99" spans="8:100">
      <c r="H99" s="107"/>
      <c r="I99" s="107"/>
      <c r="J99" s="107"/>
      <c r="K99" s="107"/>
      <c r="L99" s="107"/>
      <c r="M99" s="107"/>
      <c r="N99" s="107"/>
      <c r="O99" s="107"/>
      <c r="P99" s="107"/>
      <c r="Q99" s="107"/>
      <c r="R99" s="107"/>
      <c r="S99" s="107"/>
      <c r="T99" s="107"/>
      <c r="U99" s="107"/>
      <c r="V99" s="107"/>
      <c r="W99" s="107"/>
      <c r="X99" s="107"/>
      <c r="Y99" s="107"/>
      <c r="Z99" s="107"/>
      <c r="AA99" s="107"/>
      <c r="AB99" s="107"/>
      <c r="AC99" s="107"/>
      <c r="AD99" s="107"/>
      <c r="AE99" s="107"/>
      <c r="AF99" s="107"/>
      <c r="AG99" s="107"/>
      <c r="AH99" s="107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42"/>
      <c r="BB99" s="42"/>
      <c r="BC99" s="42"/>
      <c r="BD99" s="42"/>
      <c r="BE99" s="42"/>
      <c r="BF99" s="42"/>
      <c r="BG99" s="42"/>
      <c r="BH99" s="42"/>
      <c r="BI99" s="42"/>
      <c r="BJ99" s="42"/>
      <c r="BK99" s="42"/>
      <c r="BL99" s="42"/>
      <c r="BM99" s="42"/>
      <c r="BN99" s="42"/>
      <c r="BO99" s="42"/>
      <c r="BP99" s="42"/>
      <c r="BQ99" s="42"/>
      <c r="BR99" s="42"/>
      <c r="BS99" s="42"/>
      <c r="BT99" s="42"/>
      <c r="BU99" s="42"/>
      <c r="BV99" s="42"/>
      <c r="BW99" s="42"/>
      <c r="BX99" s="42"/>
      <c r="BY99" s="42"/>
      <c r="BZ99" s="42"/>
      <c r="CA99" s="42"/>
      <c r="CB99" s="42"/>
      <c r="CC99" s="42"/>
      <c r="CD99" s="42"/>
      <c r="CE99" s="42"/>
      <c r="CF99" s="42"/>
      <c r="CG99" s="42"/>
      <c r="CH99" s="42"/>
      <c r="CI99" s="42"/>
      <c r="CJ99" s="42"/>
      <c r="CK99" s="42"/>
      <c r="CL99" s="42"/>
      <c r="CM99" s="42"/>
      <c r="CN99" s="42"/>
      <c r="CO99" s="42"/>
      <c r="CP99" s="42"/>
      <c r="CQ99" s="42"/>
      <c r="CR99" s="42"/>
      <c r="CS99" s="42"/>
      <c r="CT99" s="42"/>
      <c r="CU99" s="42"/>
      <c r="CV99" s="42"/>
    </row>
    <row r="100" spans="8:100">
      <c r="H100" s="107"/>
      <c r="I100" s="107"/>
      <c r="J100" s="107"/>
      <c r="K100" s="107"/>
      <c r="L100" s="107"/>
      <c r="M100" s="107"/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07"/>
      <c r="Y100" s="107"/>
      <c r="Z100" s="107"/>
      <c r="AA100" s="107"/>
      <c r="AB100" s="107"/>
      <c r="AC100" s="107"/>
      <c r="AD100" s="107"/>
      <c r="AE100" s="107"/>
      <c r="AF100" s="107"/>
      <c r="AG100" s="107"/>
      <c r="AH100" s="107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42"/>
      <c r="BB100" s="42"/>
      <c r="BC100" s="42"/>
      <c r="BD100" s="42"/>
      <c r="BE100" s="42"/>
      <c r="BF100" s="42"/>
      <c r="BG100" s="42"/>
      <c r="BH100" s="42"/>
      <c r="BI100" s="42"/>
      <c r="BJ100" s="42"/>
      <c r="BK100" s="42"/>
      <c r="BL100" s="42"/>
      <c r="BM100" s="42"/>
      <c r="BN100" s="42"/>
      <c r="BO100" s="42"/>
      <c r="BP100" s="42"/>
      <c r="BQ100" s="42"/>
      <c r="BR100" s="42"/>
      <c r="BS100" s="42"/>
      <c r="BT100" s="42"/>
      <c r="BU100" s="42"/>
      <c r="BV100" s="42"/>
      <c r="BW100" s="42"/>
      <c r="BX100" s="42"/>
      <c r="BY100" s="42"/>
      <c r="BZ100" s="42"/>
      <c r="CA100" s="42"/>
      <c r="CB100" s="42"/>
      <c r="CC100" s="42"/>
      <c r="CD100" s="42"/>
      <c r="CE100" s="42"/>
      <c r="CF100" s="42"/>
      <c r="CG100" s="42"/>
      <c r="CH100" s="42"/>
      <c r="CI100" s="42"/>
      <c r="CJ100" s="42"/>
      <c r="CK100" s="42"/>
      <c r="CL100" s="42"/>
      <c r="CM100" s="42"/>
      <c r="CN100" s="42"/>
      <c r="CO100" s="42"/>
      <c r="CP100" s="42"/>
      <c r="CQ100" s="42"/>
      <c r="CR100" s="42"/>
      <c r="CS100" s="42"/>
      <c r="CT100" s="42"/>
      <c r="CU100" s="42"/>
      <c r="CV100" s="42"/>
    </row>
    <row r="101" spans="8:100">
      <c r="H101" s="107"/>
      <c r="I101" s="107"/>
      <c r="J101" s="107"/>
      <c r="K101" s="107"/>
      <c r="L101" s="107"/>
      <c r="M101" s="107"/>
      <c r="N101" s="107"/>
      <c r="O101" s="107"/>
      <c r="P101" s="107"/>
      <c r="Q101" s="107"/>
      <c r="R101" s="107"/>
      <c r="S101" s="107"/>
      <c r="T101" s="107"/>
      <c r="U101" s="107"/>
      <c r="V101" s="107"/>
      <c r="W101" s="107"/>
      <c r="X101" s="107"/>
      <c r="Y101" s="107"/>
      <c r="Z101" s="107"/>
      <c r="AA101" s="107"/>
      <c r="AB101" s="107"/>
      <c r="AC101" s="107"/>
      <c r="AD101" s="107"/>
      <c r="AE101" s="107"/>
      <c r="AF101" s="107"/>
      <c r="AG101" s="107"/>
      <c r="AH101" s="107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42"/>
      <c r="BB101" s="42"/>
      <c r="BC101" s="42"/>
      <c r="BD101" s="42"/>
      <c r="BE101" s="42"/>
      <c r="BF101" s="42"/>
      <c r="BG101" s="42"/>
      <c r="BH101" s="42"/>
      <c r="BI101" s="42"/>
      <c r="BJ101" s="42"/>
      <c r="BK101" s="42"/>
      <c r="BL101" s="42"/>
      <c r="BM101" s="42"/>
      <c r="BN101" s="42"/>
      <c r="BO101" s="42"/>
      <c r="BP101" s="42"/>
      <c r="BQ101" s="42"/>
      <c r="BR101" s="42"/>
      <c r="BS101" s="42"/>
      <c r="BT101" s="42"/>
      <c r="BU101" s="42"/>
      <c r="BV101" s="42"/>
      <c r="BW101" s="42"/>
      <c r="BX101" s="42"/>
      <c r="BY101" s="42"/>
      <c r="BZ101" s="42"/>
      <c r="CA101" s="42"/>
      <c r="CB101" s="42"/>
      <c r="CC101" s="42"/>
      <c r="CD101" s="42"/>
      <c r="CE101" s="42"/>
      <c r="CF101" s="42"/>
      <c r="CG101" s="42"/>
      <c r="CH101" s="42"/>
      <c r="CI101" s="42"/>
      <c r="CJ101" s="42"/>
      <c r="CK101" s="42"/>
      <c r="CL101" s="42"/>
      <c r="CM101" s="42"/>
      <c r="CN101" s="42"/>
      <c r="CO101" s="42"/>
      <c r="CP101" s="42"/>
      <c r="CQ101" s="42"/>
      <c r="CR101" s="42"/>
      <c r="CS101" s="42"/>
      <c r="CT101" s="42"/>
      <c r="CU101" s="42"/>
      <c r="CV101" s="42"/>
    </row>
    <row r="102" spans="8:100">
      <c r="H102" s="107"/>
      <c r="I102" s="107"/>
      <c r="J102" s="107"/>
      <c r="K102" s="107"/>
      <c r="L102" s="107"/>
      <c r="M102" s="107"/>
      <c r="N102" s="107"/>
      <c r="O102" s="107"/>
      <c r="P102" s="107"/>
      <c r="Q102" s="107"/>
      <c r="R102" s="107"/>
      <c r="S102" s="107"/>
      <c r="T102" s="107"/>
      <c r="U102" s="107"/>
      <c r="V102" s="107"/>
      <c r="W102" s="107"/>
      <c r="X102" s="107"/>
      <c r="Y102" s="107"/>
      <c r="Z102" s="107"/>
      <c r="AA102" s="107"/>
      <c r="AB102" s="107"/>
      <c r="AC102" s="107"/>
      <c r="AD102" s="107"/>
      <c r="AE102" s="107"/>
      <c r="AF102" s="107"/>
      <c r="AG102" s="107"/>
      <c r="AH102" s="107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42"/>
      <c r="BB102" s="42"/>
      <c r="BC102" s="42"/>
      <c r="BD102" s="42"/>
      <c r="BE102" s="42"/>
      <c r="BF102" s="42"/>
      <c r="BG102" s="42"/>
      <c r="BH102" s="42"/>
      <c r="BI102" s="42"/>
      <c r="BJ102" s="42"/>
      <c r="BK102" s="42"/>
      <c r="BL102" s="42"/>
      <c r="BM102" s="42"/>
      <c r="BN102" s="42"/>
      <c r="BO102" s="42"/>
      <c r="BP102" s="42"/>
      <c r="BQ102" s="42"/>
      <c r="BR102" s="42"/>
      <c r="BS102" s="42"/>
      <c r="BT102" s="42"/>
      <c r="BU102" s="42"/>
      <c r="BV102" s="42"/>
      <c r="BW102" s="42"/>
      <c r="BX102" s="42"/>
      <c r="BY102" s="42"/>
      <c r="BZ102" s="42"/>
      <c r="CA102" s="42"/>
      <c r="CB102" s="42"/>
      <c r="CC102" s="42"/>
      <c r="CD102" s="42"/>
      <c r="CE102" s="42"/>
      <c r="CF102" s="42"/>
      <c r="CG102" s="42"/>
      <c r="CH102" s="42"/>
      <c r="CI102" s="42"/>
      <c r="CJ102" s="42"/>
      <c r="CK102" s="42"/>
      <c r="CL102" s="42"/>
      <c r="CM102" s="42"/>
      <c r="CN102" s="42"/>
      <c r="CO102" s="42"/>
      <c r="CP102" s="42"/>
      <c r="CQ102" s="42"/>
      <c r="CR102" s="42"/>
      <c r="CS102" s="42"/>
      <c r="CT102" s="42"/>
      <c r="CU102" s="42"/>
      <c r="CV102" s="42"/>
    </row>
    <row r="103" spans="8:100">
      <c r="H103" s="107"/>
      <c r="I103" s="107"/>
      <c r="J103" s="107"/>
      <c r="K103" s="107"/>
      <c r="L103" s="107"/>
      <c r="M103" s="107"/>
      <c r="N103" s="107"/>
      <c r="O103" s="107"/>
      <c r="P103" s="107"/>
      <c r="Q103" s="107"/>
      <c r="R103" s="107"/>
      <c r="S103" s="107"/>
      <c r="T103" s="107"/>
      <c r="U103" s="107"/>
      <c r="V103" s="107"/>
      <c r="W103" s="107"/>
      <c r="X103" s="107"/>
      <c r="Y103" s="107"/>
      <c r="Z103" s="107"/>
      <c r="AA103" s="107"/>
      <c r="AB103" s="107"/>
      <c r="AC103" s="107"/>
      <c r="AD103" s="107"/>
      <c r="AE103" s="107"/>
      <c r="AF103" s="107"/>
      <c r="AG103" s="107"/>
      <c r="AH103" s="107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42"/>
      <c r="BB103" s="42"/>
      <c r="BC103" s="42"/>
      <c r="BD103" s="42"/>
      <c r="BE103" s="42"/>
      <c r="BF103" s="42"/>
      <c r="BG103" s="42"/>
      <c r="BH103" s="42"/>
      <c r="BI103" s="42"/>
      <c r="BJ103" s="42"/>
      <c r="BK103" s="42"/>
      <c r="BL103" s="42"/>
      <c r="BM103" s="42"/>
      <c r="BN103" s="42"/>
      <c r="BO103" s="42"/>
      <c r="BP103" s="42"/>
      <c r="BQ103" s="42"/>
      <c r="BR103" s="42"/>
      <c r="BS103" s="42"/>
      <c r="BT103" s="42"/>
      <c r="BU103" s="42"/>
      <c r="BV103" s="42"/>
      <c r="BW103" s="42"/>
      <c r="BX103" s="42"/>
      <c r="BY103" s="42"/>
      <c r="BZ103" s="42"/>
      <c r="CA103" s="42"/>
      <c r="CB103" s="42"/>
      <c r="CC103" s="42"/>
      <c r="CD103" s="42"/>
      <c r="CE103" s="42"/>
      <c r="CF103" s="42"/>
      <c r="CG103" s="42"/>
      <c r="CH103" s="42"/>
      <c r="CI103" s="42"/>
      <c r="CJ103" s="42"/>
      <c r="CK103" s="42"/>
      <c r="CL103" s="42"/>
      <c r="CM103" s="42"/>
      <c r="CN103" s="42"/>
      <c r="CO103" s="42"/>
      <c r="CP103" s="42"/>
      <c r="CQ103" s="42"/>
      <c r="CR103" s="42"/>
      <c r="CS103" s="42"/>
      <c r="CT103" s="42"/>
      <c r="CU103" s="42"/>
      <c r="CV103" s="42"/>
    </row>
    <row r="104" spans="8:100">
      <c r="H104" s="107"/>
      <c r="I104" s="107"/>
      <c r="J104" s="107"/>
      <c r="K104" s="107"/>
      <c r="L104" s="107"/>
      <c r="M104" s="107"/>
      <c r="N104" s="107"/>
      <c r="O104" s="107"/>
      <c r="P104" s="107"/>
      <c r="Q104" s="107"/>
      <c r="R104" s="107"/>
      <c r="S104" s="107"/>
      <c r="T104" s="107"/>
      <c r="U104" s="107"/>
      <c r="V104" s="107"/>
      <c r="W104" s="107"/>
      <c r="X104" s="107"/>
      <c r="Y104" s="107"/>
      <c r="Z104" s="107"/>
      <c r="AA104" s="107"/>
      <c r="AB104" s="107"/>
      <c r="AC104" s="107"/>
      <c r="AD104" s="107"/>
      <c r="AE104" s="107"/>
      <c r="AF104" s="107"/>
      <c r="AG104" s="107"/>
      <c r="AH104" s="107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42"/>
      <c r="BB104" s="42"/>
      <c r="BC104" s="42"/>
      <c r="BD104" s="42"/>
      <c r="BE104" s="42"/>
      <c r="BF104" s="42"/>
      <c r="BG104" s="42"/>
      <c r="BH104" s="42"/>
      <c r="BI104" s="42"/>
      <c r="BJ104" s="42"/>
      <c r="BK104" s="42"/>
      <c r="BL104" s="42"/>
      <c r="BM104" s="42"/>
      <c r="BN104" s="42"/>
      <c r="BO104" s="42"/>
      <c r="BP104" s="42"/>
      <c r="BQ104" s="42"/>
      <c r="BR104" s="42"/>
      <c r="BS104" s="42"/>
      <c r="BT104" s="42"/>
      <c r="BU104" s="42"/>
      <c r="BV104" s="42"/>
      <c r="BW104" s="42"/>
      <c r="BX104" s="42"/>
      <c r="BY104" s="42"/>
      <c r="BZ104" s="42"/>
      <c r="CA104" s="42"/>
      <c r="CB104" s="42"/>
      <c r="CC104" s="42"/>
      <c r="CD104" s="42"/>
      <c r="CE104" s="42"/>
      <c r="CF104" s="42"/>
      <c r="CG104" s="42"/>
      <c r="CH104" s="42"/>
      <c r="CI104" s="42"/>
      <c r="CJ104" s="42"/>
      <c r="CK104" s="42"/>
      <c r="CL104" s="42"/>
      <c r="CM104" s="42"/>
      <c r="CN104" s="42"/>
      <c r="CO104" s="42"/>
      <c r="CP104" s="42"/>
      <c r="CQ104" s="42"/>
      <c r="CR104" s="42"/>
      <c r="CS104" s="42"/>
      <c r="CT104" s="42"/>
      <c r="CU104" s="42"/>
      <c r="CV104" s="42"/>
    </row>
    <row r="105" spans="8:100">
      <c r="H105" s="107"/>
      <c r="I105" s="107"/>
      <c r="J105" s="107"/>
      <c r="K105" s="107"/>
      <c r="L105" s="107"/>
      <c r="M105" s="107"/>
      <c r="N105" s="107"/>
      <c r="O105" s="107"/>
      <c r="P105" s="107"/>
      <c r="Q105" s="107"/>
      <c r="R105" s="107"/>
      <c r="S105" s="107"/>
      <c r="T105" s="107"/>
      <c r="U105" s="107"/>
      <c r="V105" s="107"/>
      <c r="W105" s="107"/>
      <c r="X105" s="107"/>
      <c r="Y105" s="107"/>
      <c r="Z105" s="107"/>
      <c r="AA105" s="107"/>
      <c r="AB105" s="107"/>
      <c r="AC105" s="107"/>
      <c r="AD105" s="107"/>
      <c r="AE105" s="107"/>
      <c r="AF105" s="107"/>
      <c r="AG105" s="107"/>
      <c r="AH105" s="107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42"/>
      <c r="BB105" s="42"/>
      <c r="BC105" s="42"/>
      <c r="BD105" s="42"/>
      <c r="BE105" s="42"/>
      <c r="BF105" s="42"/>
      <c r="BG105" s="42"/>
      <c r="BH105" s="42"/>
      <c r="BI105" s="42"/>
      <c r="BJ105" s="42"/>
      <c r="BK105" s="42"/>
      <c r="BL105" s="42"/>
      <c r="BM105" s="42"/>
      <c r="BN105" s="42"/>
      <c r="BO105" s="42"/>
      <c r="BP105" s="42"/>
      <c r="BQ105" s="42"/>
      <c r="BR105" s="42"/>
      <c r="BS105" s="42"/>
      <c r="BT105" s="42"/>
      <c r="BU105" s="42"/>
      <c r="BV105" s="42"/>
      <c r="BW105" s="42"/>
      <c r="BX105" s="42"/>
      <c r="BY105" s="42"/>
      <c r="BZ105" s="42"/>
      <c r="CA105" s="42"/>
      <c r="CB105" s="42"/>
      <c r="CC105" s="42"/>
      <c r="CD105" s="42"/>
      <c r="CE105" s="42"/>
      <c r="CF105" s="42"/>
      <c r="CG105" s="42"/>
      <c r="CH105" s="42"/>
      <c r="CI105" s="42"/>
      <c r="CJ105" s="42"/>
      <c r="CK105" s="42"/>
      <c r="CL105" s="42"/>
      <c r="CM105" s="42"/>
      <c r="CN105" s="42"/>
      <c r="CO105" s="42"/>
      <c r="CP105" s="42"/>
      <c r="CQ105" s="42"/>
      <c r="CR105" s="42"/>
      <c r="CS105" s="42"/>
      <c r="CT105" s="42"/>
      <c r="CU105" s="42"/>
      <c r="CV105" s="42"/>
    </row>
    <row r="106" spans="8:100">
      <c r="H106" s="107"/>
      <c r="I106" s="107"/>
      <c r="J106" s="107"/>
      <c r="K106" s="107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42"/>
      <c r="BB106" s="42"/>
      <c r="BC106" s="42"/>
      <c r="BD106" s="42"/>
      <c r="BE106" s="42"/>
      <c r="BF106" s="42"/>
      <c r="BG106" s="42"/>
      <c r="BH106" s="42"/>
      <c r="BI106" s="42"/>
      <c r="BJ106" s="42"/>
      <c r="BK106" s="42"/>
      <c r="BL106" s="42"/>
      <c r="BM106" s="42"/>
      <c r="BN106" s="42"/>
      <c r="BO106" s="42"/>
      <c r="BP106" s="42"/>
      <c r="BQ106" s="42"/>
      <c r="BR106" s="42"/>
      <c r="BS106" s="42"/>
      <c r="BT106" s="42"/>
      <c r="BU106" s="42"/>
      <c r="BV106" s="42"/>
      <c r="BW106" s="42"/>
      <c r="BX106" s="42"/>
      <c r="BY106" s="42"/>
      <c r="BZ106" s="42"/>
      <c r="CA106" s="42"/>
      <c r="CB106" s="42"/>
      <c r="CC106" s="42"/>
      <c r="CD106" s="42"/>
      <c r="CE106" s="42"/>
      <c r="CF106" s="42"/>
      <c r="CG106" s="42"/>
      <c r="CH106" s="42"/>
      <c r="CI106" s="42"/>
      <c r="CJ106" s="42"/>
      <c r="CK106" s="42"/>
      <c r="CL106" s="42"/>
      <c r="CM106" s="42"/>
      <c r="CN106" s="42"/>
      <c r="CO106" s="42"/>
      <c r="CP106" s="42"/>
      <c r="CQ106" s="42"/>
      <c r="CR106" s="42"/>
      <c r="CS106" s="42"/>
      <c r="CT106" s="42"/>
      <c r="CU106" s="42"/>
      <c r="CV106" s="42"/>
    </row>
    <row r="107" spans="8:100">
      <c r="H107" s="107"/>
      <c r="I107" s="107"/>
      <c r="J107" s="107"/>
      <c r="K107" s="107"/>
      <c r="L107" s="107"/>
      <c r="M107" s="107"/>
      <c r="N107" s="107"/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42"/>
      <c r="BB107" s="42"/>
      <c r="BC107" s="42"/>
      <c r="BD107" s="42"/>
      <c r="BE107" s="42"/>
      <c r="BF107" s="42"/>
      <c r="BG107" s="42"/>
      <c r="BH107" s="42"/>
      <c r="BI107" s="42"/>
      <c r="BJ107" s="42"/>
      <c r="BK107" s="42"/>
      <c r="BL107" s="42"/>
      <c r="BM107" s="42"/>
      <c r="BN107" s="42"/>
      <c r="BO107" s="42"/>
      <c r="BP107" s="42"/>
      <c r="BQ107" s="42"/>
      <c r="BR107" s="42"/>
      <c r="BS107" s="42"/>
      <c r="BT107" s="42"/>
      <c r="BU107" s="42"/>
      <c r="BV107" s="42"/>
      <c r="BW107" s="42"/>
      <c r="BX107" s="42"/>
      <c r="BY107" s="42"/>
      <c r="BZ107" s="42"/>
      <c r="CA107" s="42"/>
      <c r="CB107" s="42"/>
      <c r="CC107" s="42"/>
      <c r="CD107" s="42"/>
      <c r="CE107" s="42"/>
      <c r="CF107" s="42"/>
      <c r="CG107" s="42"/>
      <c r="CH107" s="42"/>
      <c r="CI107" s="42"/>
      <c r="CJ107" s="42"/>
      <c r="CK107" s="42"/>
      <c r="CL107" s="42"/>
      <c r="CM107" s="42"/>
      <c r="CN107" s="42"/>
      <c r="CO107" s="42"/>
      <c r="CP107" s="42"/>
      <c r="CQ107" s="42"/>
      <c r="CR107" s="42"/>
      <c r="CS107" s="42"/>
      <c r="CT107" s="42"/>
      <c r="CU107" s="42"/>
      <c r="CV107" s="42"/>
    </row>
    <row r="108" spans="8:100">
      <c r="H108" s="107"/>
      <c r="I108" s="107"/>
      <c r="J108" s="107"/>
      <c r="K108" s="107"/>
      <c r="L108" s="107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42"/>
      <c r="BB108" s="42"/>
      <c r="BC108" s="42"/>
      <c r="BD108" s="42"/>
      <c r="BE108" s="42"/>
      <c r="BF108" s="42"/>
      <c r="BG108" s="42"/>
      <c r="BH108" s="42"/>
      <c r="BI108" s="42"/>
      <c r="BJ108" s="42"/>
      <c r="BK108" s="42"/>
      <c r="BL108" s="42"/>
      <c r="BM108" s="42"/>
      <c r="BN108" s="42"/>
      <c r="BO108" s="42"/>
      <c r="BP108" s="42"/>
      <c r="BQ108" s="42"/>
      <c r="BR108" s="42"/>
      <c r="BS108" s="42"/>
      <c r="BT108" s="42"/>
      <c r="BU108" s="42"/>
      <c r="BV108" s="42"/>
      <c r="BW108" s="42"/>
      <c r="BX108" s="42"/>
      <c r="BY108" s="42"/>
      <c r="BZ108" s="42"/>
      <c r="CA108" s="42"/>
      <c r="CB108" s="42"/>
      <c r="CC108" s="42"/>
      <c r="CD108" s="42"/>
      <c r="CE108" s="42"/>
      <c r="CF108" s="42"/>
      <c r="CG108" s="42"/>
      <c r="CH108" s="42"/>
      <c r="CI108" s="42"/>
      <c r="CJ108" s="42"/>
      <c r="CK108" s="42"/>
      <c r="CL108" s="42"/>
      <c r="CM108" s="42"/>
      <c r="CN108" s="42"/>
      <c r="CO108" s="42"/>
      <c r="CP108" s="42"/>
      <c r="CQ108" s="42"/>
      <c r="CR108" s="42"/>
      <c r="CS108" s="42"/>
      <c r="CT108" s="42"/>
      <c r="CU108" s="42"/>
      <c r="CV108" s="42"/>
    </row>
  </sheetData>
  <mergeCells count="17">
    <mergeCell ref="U8:AG8"/>
    <mergeCell ref="AH8:AH9"/>
    <mergeCell ref="K1:P1"/>
    <mergeCell ref="Q1:V1"/>
    <mergeCell ref="A8:A9"/>
    <mergeCell ref="B8:B9"/>
    <mergeCell ref="C8:C9"/>
    <mergeCell ref="D8:D9"/>
    <mergeCell ref="E8:E9"/>
    <mergeCell ref="F8:F9"/>
    <mergeCell ref="G8:G9"/>
    <mergeCell ref="G1:J1"/>
    <mergeCell ref="G3:G6"/>
    <mergeCell ref="H3:H6"/>
    <mergeCell ref="I3:I6"/>
    <mergeCell ref="J3:J6"/>
    <mergeCell ref="H8:T8"/>
  </mergeCells>
  <phoneticPr fontId="12"/>
  <conditionalFormatting sqref="S97:S1002">
    <cfRule type="expression" dxfId="11" priority="1" stopIfTrue="1">
      <formula>INDIRECT("S"&amp;ROW())="Pass"</formula>
    </cfRule>
    <cfRule type="expression" dxfId="10" priority="9" stopIfTrue="1">
      <formula>INDIRECT("S"&amp;ROW())="Fail"</formula>
    </cfRule>
  </conditionalFormatting>
  <conditionalFormatting sqref="P11:P1002">
    <cfRule type="expression" dxfId="9" priority="2" stopIfTrue="1">
      <formula>INDIRECT("P"&amp;ROW())="Pass"</formula>
    </cfRule>
    <cfRule type="expression" dxfId="8" priority="8" stopIfTrue="1">
      <formula>INDIRECT("P"&amp;ROW())="Fail"</formula>
    </cfRule>
  </conditionalFormatting>
  <conditionalFormatting sqref="L18:L997">
    <cfRule type="expression" dxfId="7" priority="7" stopIfTrue="1">
      <formula>INDIRECT("L"&amp;ROW())="Fail"</formula>
    </cfRule>
  </conditionalFormatting>
  <conditionalFormatting sqref="G10:G997">
    <cfRule type="cellIs" dxfId="6" priority="10" stopIfTrue="1" operator="equal">
      <formula>"Low"</formula>
    </cfRule>
    <cfRule type="cellIs" dxfId="5" priority="11" stopIfTrue="1" operator="equal">
      <formula>"Normal"</formula>
    </cfRule>
    <cfRule type="cellIs" dxfId="4" priority="12" stopIfTrue="1" operator="equal">
      <formula>"High"</formula>
    </cfRule>
  </conditionalFormatting>
  <conditionalFormatting sqref="I10:I1002">
    <cfRule type="expression" dxfId="3" priority="5" stopIfTrue="1">
      <formula>INDIRECT("I"&amp;ROW())="Pass"</formula>
    </cfRule>
    <cfRule type="expression" dxfId="2" priority="6" stopIfTrue="1">
      <formula>INDIRECT("I"&amp;ROW())="Fail"</formula>
    </cfRule>
  </conditionalFormatting>
  <conditionalFormatting sqref="L10:L1002">
    <cfRule type="expression" dxfId="1" priority="3" stopIfTrue="1">
      <formula>INDIRECT("L"&amp;ROW())="Fail"</formula>
    </cfRule>
    <cfRule type="expression" dxfId="0" priority="4" stopIfTrue="1">
      <formula>INDIRECT("L"&amp;ROW())="Pass"</formula>
    </cfRule>
  </conditionalFormatting>
  <dataValidations count="3">
    <dataValidation type="list" allowBlank="1" showInputMessage="1" showErrorMessage="1" sqref="M21:N96 J35:J96 K96" xr:uid="{63BF5A5E-1CBE-48A3-99F8-277D0089275B}">
      <formula1>$F$2:$I$2</formula1>
    </dataValidation>
    <dataValidation type="list" allowBlank="1" showInputMessage="1" showErrorMessage="1" sqref="L10:L96 P11:P96 I10:I96" xr:uid="{9080B43F-3C5A-4367-BF09-34E2177FF6C7}">
      <formula1>$K$2:$N$2</formula1>
    </dataValidation>
    <dataValidation type="list" allowBlank="1" showInputMessage="1" showErrorMessage="1" sqref="G10:G96" xr:uid="{B4F5E502-DA0C-412B-A991-AB2C26273071}">
      <formula1>"High, Normal, Low"</formula1>
    </dataValidation>
  </dataValidations>
  <pageMargins left="0.7" right="0.7" top="0.75" bottom="0.75" header="0.3" footer="0.3"/>
  <pageSetup paperSize="9"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53C9EA54DE8F94487C2A1AB12315691" ma:contentTypeVersion="11" ma:contentTypeDescription="Create a new document." ma:contentTypeScope="" ma:versionID="9ad96d5f56a106dedcadfe98723ee0c3">
  <xsd:schema xmlns:xsd="http://www.w3.org/2001/XMLSchema" xmlns:xs="http://www.w3.org/2001/XMLSchema" xmlns:p="http://schemas.microsoft.com/office/2006/metadata/properties" xmlns:ns2="38c55fcc-c670-4ac4-8a9b-264c271983b2" xmlns:ns3="ea1ab6f7-2cdf-4ac6-8d0c-935587abd710" targetNamespace="http://schemas.microsoft.com/office/2006/metadata/properties" ma:root="true" ma:fieldsID="60d116a7796d181fd721f8edd8de3e6f" ns2:_="" ns3:_="">
    <xsd:import namespace="38c55fcc-c670-4ac4-8a9b-264c271983b2"/>
    <xsd:import namespace="ea1ab6f7-2cdf-4ac6-8d0c-935587abd71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c55fcc-c670-4ac4-8a9b-264c271983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b4a57264-ac35-4eb0-866e-4f624dc13f5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ab6f7-2cdf-4ac6-8d0c-935587abd710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8c55fcc-c670-4ac4-8a9b-264c271983b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54AE728-40F3-404B-A90C-CAC20CF1D9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8c55fcc-c670-4ac4-8a9b-264c271983b2"/>
    <ds:schemaRef ds:uri="ea1ab6f7-2cdf-4ac6-8d0c-935587abd71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854E86E-76EC-4B22-92A0-E3A743C1528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AFF7A5-F3C1-400A-A7C8-AA75592902F2}">
  <ds:schemaRefs>
    <ds:schemaRef ds:uri="http://purl.org/dc/dcmitype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purl.org/dc/elements/1.1/"/>
    <ds:schemaRef ds:uri="ea1ab6f7-2cdf-4ac6-8d0c-935587abd710"/>
    <ds:schemaRef ds:uri="http://schemas.microsoft.com/office/infopath/2007/PartnerControls"/>
    <ds:schemaRef ds:uri="38c55fcc-c670-4ac4-8a9b-264c271983b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Cover</vt:lpstr>
      <vt:lpstr>Report</vt:lpstr>
      <vt:lpstr>Module 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Nguyễn Dương Thái (KHN.SBU1.QA1)</cp:lastModifiedBy>
  <cp:revision/>
  <dcterms:created xsi:type="dcterms:W3CDTF">2017-12-28T03:20:00Z</dcterms:created>
  <dcterms:modified xsi:type="dcterms:W3CDTF">2025-10-03T08:13:06Z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0x010100053C9EA54DE8F94487C2A1AB12315691</vt:lpwstr>
  </property>
  <property fmtid="{D5CDD505-2E9C-101B-9397-08002B2CF9AE}" pid="3" name="MediaServiceImageTags">
    <vt:lpwstr/>
  </property>
</Properties>
</file>